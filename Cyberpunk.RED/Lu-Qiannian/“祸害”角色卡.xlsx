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QQ Files\"/>
    </mc:Choice>
  </mc:AlternateContent>
  <xr:revisionPtr revIDLastSave="0" documentId="13_ncr:1_{294CCA05-D76A-4120-88C2-8E568A645A25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自动卡用户手册" sheetId="6" r:id="rId1"/>
    <sheet name="人物卡" sheetId="1" r:id="rId2"/>
    <sheet name="装备卡" sheetId="2" r:id="rId3"/>
    <sheet name="状态表" sheetId="4" r:id="rId4"/>
    <sheet name="RP卡" sheetId="5" r:id="rId5"/>
    <sheet name="成长表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1" l="1"/>
  <c r="F6" i="7"/>
  <c r="E6" i="7"/>
  <c r="D6" i="7"/>
  <c r="N5" i="4"/>
  <c r="P5" i="4" s="1"/>
  <c r="Q5" i="4" s="1"/>
  <c r="J5" i="4"/>
  <c r="I5" i="4"/>
  <c r="H5" i="4"/>
  <c r="T33" i="2"/>
  <c r="S21" i="2"/>
  <c r="S8" i="2"/>
  <c r="S10" i="2" s="1"/>
  <c r="S7" i="2"/>
  <c r="Y44" i="1"/>
  <c r="X44" i="1"/>
  <c r="V44" i="1"/>
  <c r="T44" i="1"/>
  <c r="AK42" i="1"/>
  <c r="Y42" i="1"/>
  <c r="X42" i="1"/>
  <c r="V42" i="1"/>
  <c r="T42" i="1"/>
  <c r="Y40" i="1"/>
  <c r="X40" i="1"/>
  <c r="V40" i="1"/>
  <c r="T40" i="1"/>
  <c r="Y38" i="1"/>
  <c r="X38" i="1"/>
  <c r="V38" i="1"/>
  <c r="T38" i="1"/>
  <c r="Y36" i="1"/>
  <c r="X36" i="1"/>
  <c r="V36" i="1"/>
  <c r="X34" i="1"/>
  <c r="U34" i="1"/>
  <c r="X33" i="1"/>
  <c r="U33" i="1"/>
  <c r="Y32" i="1"/>
  <c r="P8" i="1" s="1"/>
  <c r="X32" i="1"/>
  <c r="U32" i="1"/>
  <c r="O32" i="1"/>
  <c r="AC5" i="4" s="1"/>
  <c r="O30" i="1"/>
  <c r="O5" i="4" s="1"/>
  <c r="K25" i="1"/>
  <c r="P20" i="1"/>
  <c r="P16" i="1"/>
  <c r="P14" i="1"/>
  <c r="X14" i="1" s="1"/>
  <c r="P12" i="1"/>
  <c r="X23" i="1" s="1"/>
  <c r="P10" i="1"/>
  <c r="AK28" i="1" s="1"/>
  <c r="X5" i="1"/>
  <c r="P4" i="1"/>
  <c r="AE7" i="1" s="1"/>
  <c r="P18" i="1" l="1"/>
  <c r="X24" i="1"/>
  <c r="AK38" i="1"/>
  <c r="X25" i="1"/>
  <c r="X26" i="1"/>
  <c r="AK40" i="1"/>
  <c r="AK26" i="1"/>
  <c r="AK34" i="1"/>
  <c r="AK29" i="1"/>
  <c r="AK31" i="1"/>
  <c r="AK39" i="1"/>
  <c r="AK30" i="1"/>
  <c r="AK32" i="1"/>
  <c r="AK33" i="1"/>
  <c r="AK35" i="1"/>
  <c r="AK8" i="1"/>
  <c r="AK7" i="1"/>
  <c r="AK5" i="1"/>
  <c r="X16" i="1"/>
  <c r="P6" i="1"/>
  <c r="AK10" i="1" s="1"/>
  <c r="AK36" i="1"/>
  <c r="AK37" i="1"/>
  <c r="X15" i="1"/>
  <c r="X11" i="1"/>
  <c r="X12" i="1"/>
  <c r="AK6" i="1"/>
  <c r="X13" i="1"/>
  <c r="AK14" i="1"/>
  <c r="K32" i="1"/>
  <c r="O23" i="1" s="1"/>
  <c r="T5" i="4" a="1"/>
  <c r="T5" i="4" s="1"/>
  <c r="AK22" i="1"/>
  <c r="AK20" i="1"/>
  <c r="AK23" i="1"/>
  <c r="AK21" i="1"/>
  <c r="AK24" i="1"/>
  <c r="AK16" i="1"/>
  <c r="AK19" i="1"/>
  <c r="AK27" i="1"/>
  <c r="AE5" i="1"/>
  <c r="AE6" i="1"/>
  <c r="X7" i="1"/>
  <c r="X8" i="1"/>
  <c r="AE8" i="1"/>
  <c r="AE18" i="1"/>
  <c r="X9" i="1"/>
  <c r="AE19" i="1"/>
  <c r="AE20" i="1"/>
  <c r="AE11" i="1"/>
  <c r="AE9" i="1"/>
  <c r="AE10" i="1"/>
  <c r="AE22" i="1"/>
  <c r="AE21" i="1"/>
  <c r="AE23" i="1"/>
  <c r="AE12" i="1"/>
  <c r="AE13" i="1"/>
  <c r="AE14" i="1"/>
  <c r="AE24" i="1"/>
  <c r="AE15" i="1"/>
  <c r="AE25" i="1"/>
  <c r="X6" i="1"/>
  <c r="AE16" i="1"/>
  <c r="AE26" i="1"/>
  <c r="AE17" i="1"/>
  <c r="AK13" i="1" l="1"/>
  <c r="AK12" i="1"/>
  <c r="X21" i="1"/>
  <c r="X20" i="1"/>
  <c r="X19" i="1"/>
  <c r="AK11" i="1"/>
  <c r="X18" i="1"/>
  <c r="P22" i="1"/>
  <c r="AK17" i="1" s="1"/>
  <c r="AB5" i="4"/>
  <c r="AD5" i="4" l="1"/>
  <c r="AE5" i="4" s="1"/>
  <c r="AK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<sst xmlns="http://schemas.openxmlformats.org/spreadsheetml/2006/main" count="644" uniqueCount="458">
  <si>
    <t>这张自动卡是基于赛博朋克红的规则书和群里已有的自动卡设计的，感谢前人的贡献！</t>
  </si>
  <si>
    <t>主要是想让卡好看点，视觉上更符合赛博朋克红的感觉，同时更适配面团</t>
  </si>
  <si>
    <t>（就我感觉规则书上的卡看着眼睛疼吗？）</t>
  </si>
  <si>
    <t>面团建议是可以只打印人物卡，别的边跑边看手机</t>
  </si>
  <si>
    <t>根据规则书中的车卡顺序你会依次写RP卡，人物卡，装备卡，状态表</t>
  </si>
  <si>
    <t>里面有些自动数值设计不符合规则书，我知道</t>
  </si>
  <si>
    <t>例如人性值上限，技能使用的是加点而非等级</t>
  </si>
  <si>
    <t>一般情况下不影响游戏，如果你觉得有问题就自己改改</t>
  </si>
  <si>
    <t>里面有些数值看着不对劲，这是因为我在里面塞了一点例子，填完自己会好的</t>
  </si>
  <si>
    <t>会自动计算属性、技能基准、生命值上限、人性值上限和一些杂七杂八的东西</t>
  </si>
  <si>
    <t>你装备的武器和护甲请填写在装备卡中，会自动出现在人物卡</t>
  </si>
  <si>
    <t>使用的赛博义体填在状态表里，扣除的人性值会自动减少人性值上限</t>
  </si>
  <si>
    <t>如果你通过任何手段降低了义体减少的人性值，直接在状态表的义体统计里修改</t>
  </si>
  <si>
    <t>所有使用</t>
  </si>
  <si>
    <t>这个背景颜色</t>
  </si>
  <si>
    <t>的单元格均为自动计算</t>
  </si>
  <si>
    <t>随便改会弄坏自动表</t>
  </si>
  <si>
    <t>（基本上手动填的就是白色底色）</t>
  </si>
  <si>
    <t>有重大问题群里@zcrss，就是我，不保证能改</t>
  </si>
  <si>
    <t>推荐使用MiSans Semibold字体以获得最佳体验</t>
  </si>
  <si>
    <t>最后，您可以删除此工作表</t>
  </si>
  <si>
    <t>祝您游戏愉快！</t>
  </si>
  <si>
    <t>基础信息</t>
  </si>
  <si>
    <t>人物属性</t>
  </si>
  <si>
    <t>调整属性/结果</t>
  </si>
  <si>
    <t>技能</t>
  </si>
  <si>
    <t>智力</t>
  </si>
  <si>
    <t>感官技能</t>
  </si>
  <si>
    <t>调整</t>
  </si>
  <si>
    <t>加点</t>
  </si>
  <si>
    <t>技能基准</t>
  </si>
  <si>
    <t>教育技能</t>
  </si>
  <si>
    <t>战斗技能</t>
  </si>
  <si>
    <t>专注</t>
  </si>
  <si>
    <t>会计</t>
  </si>
  <si>
    <t>搏击</t>
  </si>
  <si>
    <t>反应</t>
  </si>
  <si>
    <t>隐藏/发现物品</t>
  </si>
  <si>
    <t>驯兽</t>
  </si>
  <si>
    <t>闪避</t>
  </si>
  <si>
    <t>唇语</t>
  </si>
  <si>
    <t>官场</t>
  </si>
  <si>
    <t>[x2]</t>
  </si>
  <si>
    <t>（武术流派）</t>
  </si>
  <si>
    <t>敏捷</t>
  </si>
  <si>
    <t>察觉</t>
  </si>
  <si>
    <t>商务</t>
  </si>
  <si>
    <t>近战武器</t>
  </si>
  <si>
    <t>追踪</t>
  </si>
  <si>
    <t>写作</t>
  </si>
  <si>
    <t>远程武器技能</t>
  </si>
  <si>
    <t>技术</t>
  </si>
  <si>
    <t>身体技能</t>
  </si>
  <si>
    <t>犯罪学</t>
  </si>
  <si>
    <t>弓道</t>
  </si>
  <si>
    <t>运动</t>
  </si>
  <si>
    <t>密码学</t>
  </si>
  <si>
    <t>[x2]自动武器</t>
  </si>
  <si>
    <t>酷</t>
  </si>
  <si>
    <t>柔韧</t>
  </si>
  <si>
    <t>推理</t>
  </si>
  <si>
    <t>手枪</t>
  </si>
  <si>
    <t>舞蹈</t>
  </si>
  <si>
    <t>通识</t>
  </si>
  <si>
    <t>[x2]重武器</t>
  </si>
  <si>
    <t>意志</t>
  </si>
  <si>
    <t>忍耐</t>
  </si>
  <si>
    <t>赌博</t>
  </si>
  <si>
    <t>长管武器</t>
  </si>
  <si>
    <t>头像</t>
  </si>
  <si>
    <t>抗折磨/耐药</t>
  </si>
  <si>
    <t>图书馆检索</t>
  </si>
  <si>
    <t>社交技能</t>
  </si>
  <si>
    <t>玩家</t>
  </si>
  <si>
    <t>运气</t>
  </si>
  <si>
    <t>潜行</t>
  </si>
  <si>
    <t>科学</t>
  </si>
  <si>
    <t>贿赂</t>
  </si>
  <si>
    <t>姓名</t>
  </si>
  <si>
    <t>操作技能</t>
  </si>
  <si>
    <t>战术</t>
  </si>
  <si>
    <t>交谈</t>
  </si>
  <si>
    <t>外号</t>
  </si>
  <si>
    <t>移速</t>
  </si>
  <si>
    <t>陆地载具</t>
  </si>
  <si>
    <t>野外生存</t>
  </si>
  <si>
    <t>察言观色</t>
  </si>
  <si>
    <t>年龄</t>
  </si>
  <si>
    <t>性别</t>
  </si>
  <si>
    <t>[x2]空中载具</t>
  </si>
  <si>
    <t>语言</t>
  </si>
  <si>
    <t>审讯</t>
  </si>
  <si>
    <t>故乡</t>
  </si>
  <si>
    <t>体格</t>
  </si>
  <si>
    <t>水上载具</t>
  </si>
  <si>
    <t>┣→</t>
  </si>
  <si>
    <t>街头俚语</t>
  </si>
  <si>
    <t>说服</t>
  </si>
  <si>
    <t>等级</t>
  </si>
  <si>
    <t>声望</t>
  </si>
  <si>
    <t>骑术</t>
  </si>
  <si>
    <t>英语</t>
  </si>
  <si>
    <t>个人装扮</t>
  </si>
  <si>
    <t>原生家庭</t>
  </si>
  <si>
    <t>共情</t>
  </si>
  <si>
    <t>表演技能</t>
  </si>
  <si>
    <t>┗→</t>
  </si>
  <si>
    <t>街头智慧</t>
  </si>
  <si>
    <t>表演</t>
  </si>
  <si>
    <t>本地专家</t>
  </si>
  <si>
    <t>交易</t>
  </si>
  <si>
    <t>可用点数</t>
  </si>
  <si>
    <t>先攻
调整</t>
  </si>
  <si>
    <t>乐器使用</t>
  </si>
  <si>
    <t>奥德卡多营地周边</t>
  </si>
  <si>
    <t>服饰与风格</t>
  </si>
  <si>
    <t>职业</t>
  </si>
  <si>
    <t>剩余点数</t>
  </si>
  <si>
    <t>技术技能</t>
  </si>
  <si>
    <t>空中载具技术</t>
  </si>
  <si>
    <t>职业名</t>
  </si>
  <si>
    <t>基础技术</t>
  </si>
  <si>
    <t>能力</t>
  </si>
  <si>
    <t>状态</t>
  </si>
  <si>
    <t>赛博技术</t>
  </si>
  <si>
    <t>兼职1</t>
  </si>
  <si>
    <t>影响血量的意志与体格直接加在人物属性</t>
  </si>
  <si>
    <t>护甲与武器</t>
  </si>
  <si>
    <t>[x2]爆破学</t>
  </si>
  <si>
    <t>生命值</t>
  </si>
  <si>
    <t>/</t>
  </si>
  <si>
    <t>[x2]电子/安全技术</t>
  </si>
  <si>
    <t>兼职2</t>
  </si>
  <si>
    <t>护甲</t>
  </si>
  <si>
    <t>剩余/SP</t>
  </si>
  <si>
    <t>罚值</t>
  </si>
  <si>
    <t>急救</t>
  </si>
  <si>
    <t>人性值</t>
  </si>
  <si>
    <t>头</t>
  </si>
  <si>
    <t>此处罚值不需要再填调整属性，会自动计算</t>
  </si>
  <si>
    <t>[x2]强化急救</t>
  </si>
  <si>
    <t>身</t>
  </si>
  <si>
    <t>伪造</t>
  </si>
  <si>
    <t>备注</t>
  </si>
  <si>
    <t>人性值变化导致的共情变化会被自动计算</t>
  </si>
  <si>
    <t>盾</t>
  </si>
  <si>
    <t>地面载具技术</t>
  </si>
  <si>
    <t>严重伤势</t>
  </si>
  <si>
    <t>效果</t>
  </si>
  <si>
    <t>武器</t>
  </si>
  <si>
    <t>伤害</t>
  </si>
  <si>
    <t>剩余/弹药</t>
  </si>
  <si>
    <t>攻速</t>
  </si>
  <si>
    <t>绘画/雕刻/摄影</t>
  </si>
  <si>
    <t>摄影/摄像</t>
  </si>
  <si>
    <t>开锁</t>
  </si>
  <si>
    <t>扒窃</t>
  </si>
  <si>
    <t>海洋载具技术</t>
  </si>
  <si>
    <t>武器技术</t>
  </si>
  <si>
    <t>剩余</t>
  </si>
  <si>
    <t>加点列浅红色标记的为必须点的基础加点，技能列红色[x2]的在加点列+2才会+1技能基准</t>
  </si>
  <si>
    <t>死亡豁免调整</t>
  </si>
  <si>
    <t>下方已有武器为示例，使用前请删除</t>
  </si>
  <si>
    <t>钱包</t>
  </si>
  <si>
    <t>背包</t>
  </si>
  <si>
    <t>下方已有物品为示例，使用前请删除</t>
  </si>
  <si>
    <t>武器名称</t>
  </si>
  <si>
    <t>武器类型</t>
  </si>
  <si>
    <t>武器技能</t>
  </si>
  <si>
    <t>单次伤害</t>
  </si>
  <si>
    <t>弹药容量</t>
  </si>
  <si>
    <t>需要手数</t>
  </si>
  <si>
    <t>能否隐藏</t>
  </si>
  <si>
    <t>成本</t>
  </si>
  <si>
    <t>价值</t>
  </si>
  <si>
    <t>专项预算</t>
  </si>
  <si>
    <t>时尚预算</t>
  </si>
  <si>
    <t>物品</t>
  </si>
  <si>
    <t>描述</t>
  </si>
  <si>
    <t>数量</t>
  </si>
  <si>
    <t>义体赞助</t>
  </si>
  <si>
    <t>流动资金</t>
  </si>
  <si>
    <t>初始资金</t>
  </si>
  <si>
    <t>配件</t>
  </si>
  <si>
    <t>收益</t>
  </si>
  <si>
    <t>购物支出</t>
  </si>
  <si>
    <t>消耗支出</t>
  </si>
  <si>
    <t>总计</t>
  </si>
  <si>
    <t>会自动计算表格里填的，已消耗的消耗品和购买服务等花费填在消耗支出里</t>
  </si>
  <si>
    <t>衣食住行</t>
  </si>
  <si>
    <t>这里不会参与自动计算</t>
  </si>
  <si>
    <t>生活风格</t>
  </si>
  <si>
    <t>花费</t>
  </si>
  <si>
    <t>住所</t>
  </si>
  <si>
    <t>本月已支付</t>
  </si>
  <si>
    <t>总开销</t>
  </si>
  <si>
    <t>时尚衣物</t>
  </si>
  <si>
    <t>单价</t>
  </si>
  <si>
    <t>时尚总费用</t>
  </si>
  <si>
    <t>下方已有护甲为示例，使用前请删除</t>
  </si>
  <si>
    <t>护甲部位</t>
  </si>
  <si>
    <t>护甲名称</t>
  </si>
  <si>
    <t>护甲类型</t>
  </si>
  <si>
    <t>阻滞力</t>
  </si>
  <si>
    <t>护甲惩罚</t>
  </si>
  <si>
    <t>头部</t>
  </si>
  <si>
    <t>身体</t>
  </si>
  <si>
    <t>盾牌</t>
  </si>
  <si>
    <t>义体统计</t>
  </si>
  <si>
    <t>下方已有义体为示例，使用前请删除</t>
  </si>
  <si>
    <t>伤势</t>
  </si>
  <si>
    <t>仅供参考，不参与自动计算</t>
  </si>
  <si>
    <t>精神状态</t>
  </si>
  <si>
    <t>总花费</t>
  </si>
  <si>
    <t>总人性损失</t>
  </si>
  <si>
    <t>总人性上限损失</t>
  </si>
  <si>
    <t>总生命值</t>
  </si>
  <si>
    <t>伤势状态</t>
  </si>
  <si>
    <t>伤势效果</t>
  </si>
  <si>
    <t>救治难度</t>
  </si>
  <si>
    <t>左侧伤势状态自动计算，
生命值变化时请调整人物卡</t>
  </si>
  <si>
    <t>人性值上限</t>
  </si>
  <si>
    <t>基础义体</t>
  </si>
  <si>
    <t>插槽</t>
  </si>
  <si>
    <t>组件名</t>
  </si>
  <si>
    <t>安装设施</t>
  </si>
  <si>
    <t>描述和数据</t>
  </si>
  <si>
    <t>安装人性损失</t>
  </si>
  <si>
    <t>人性上限损失</t>
  </si>
  <si>
    <t>人性值变动记录</t>
  </si>
  <si>
    <t>示例</t>
  </si>
  <si>
    <t>身体严重伤势</t>
  </si>
  <si>
    <t>类型</t>
  </si>
  <si>
    <t>人性值变化</t>
  </si>
  <si>
    <t>是否受伤</t>
  </si>
  <si>
    <t>2D6</t>
  </si>
  <si>
    <t>紧急处理</t>
  </si>
  <si>
    <t>治愈</t>
  </si>
  <si>
    <t>否</t>
  </si>
  <si>
    <t>断臂</t>
  </si>
  <si>
    <r>
      <rPr>
        <sz val="9"/>
        <color theme="1"/>
        <rFont val="宋体"/>
        <family val="3"/>
        <charset val="134"/>
      </rPr>
      <t>断掉的那只手臂，没了。那只手里拿着的任何东西都掉了。</t>
    </r>
    <r>
      <rPr>
        <b/>
        <sz val="9"/>
        <color theme="1"/>
        <rFont val="宋体"/>
        <family val="3"/>
        <charset val="134"/>
      </rPr>
      <t>基础死亡豁免惩罚减值 +1。</t>
    </r>
  </si>
  <si>
    <t>做不到</t>
  </si>
  <si>
    <t>手术DV17</t>
  </si>
  <si>
    <t>断手</t>
  </si>
  <si>
    <r>
      <rPr>
        <sz val="9"/>
        <color theme="1"/>
        <rFont val="宋体"/>
        <family val="3"/>
        <charset val="134"/>
      </rPr>
      <t>断掉的那只手，没了。那只手里拿着的任何东西都掉了。</t>
    </r>
    <r>
      <rPr>
        <b/>
        <sz val="9"/>
        <color theme="1"/>
        <rFont val="宋体"/>
        <family val="3"/>
        <charset val="134"/>
      </rPr>
      <t>基础死亡豁免惩罚减值 +1。</t>
    </r>
  </si>
  <si>
    <t>气胸</t>
  </si>
  <si>
    <r>
      <rPr>
        <sz val="9"/>
        <color theme="1"/>
        <rFont val="宋体"/>
        <family val="3"/>
        <charset val="134"/>
      </rPr>
      <t xml:space="preserve">移速属性 -2（最低 1），
</t>
    </r>
    <r>
      <rPr>
        <b/>
        <sz val="9"/>
        <color theme="1"/>
        <rFont val="宋体"/>
        <family val="3"/>
        <charset val="134"/>
      </rPr>
      <t>基础死亡豁免惩罚减值 +1。</t>
    </r>
  </si>
  <si>
    <t>强化急救DV15</t>
  </si>
  <si>
    <t>手术DV15</t>
  </si>
  <si>
    <t>肋骨骨折</t>
  </si>
  <si>
    <t>在每个你徒步行进了超过 4m 的回合后，你都要重新受到这个严重伤势的额外伤害，直接从生命值里扣除。</t>
  </si>
  <si>
    <t>强化急救DV13</t>
  </si>
  <si>
    <t>强化急救DV15/
手术DV13</t>
  </si>
  <si>
    <t>手臂骨折</t>
  </si>
  <si>
    <t>骨折的手臂无法再用来干别的事了，那只手里拿着的任何东西，都掉了。</t>
  </si>
  <si>
    <t>体内异物</t>
  </si>
  <si>
    <t>急救/强化急救DV13</t>
  </si>
  <si>
    <t>紧急处理可治愈</t>
  </si>
  <si>
    <t>药物状态</t>
  </si>
  <si>
    <t>小腿/大腿骨折</t>
  </si>
  <si>
    <t>移速属性 -4（最低 1）</t>
  </si>
  <si>
    <t>是否成瘾</t>
  </si>
  <si>
    <t>药物名称</t>
  </si>
  <si>
    <t>肌肉撕裂</t>
  </si>
  <si>
    <t>近战攻击判定 -2</t>
  </si>
  <si>
    <t>脊柱受伤</t>
  </si>
  <si>
    <r>
      <rPr>
        <sz val="9"/>
        <color theme="1"/>
        <rFont val="宋体"/>
        <family val="3"/>
        <charset val="134"/>
      </rPr>
      <t>在你的下个回合里你无法使用其他动作，但仍然可以进行移动动作。</t>
    </r>
    <r>
      <rPr>
        <b/>
        <sz val="9"/>
        <color theme="1"/>
        <rFont val="宋体"/>
        <family val="3"/>
        <charset val="134"/>
      </rPr>
      <t>基础死亡豁免惩罚减值 +1。</t>
    </r>
  </si>
  <si>
    <t>手指粉碎性骨折</t>
  </si>
  <si>
    <t>用到那只手的任何动作判定 -4</t>
  </si>
  <si>
    <t>断腿</t>
  </si>
  <si>
    <r>
      <rPr>
        <sz val="9"/>
        <color theme="1"/>
        <rFont val="宋体"/>
        <family val="3"/>
        <charset val="134"/>
      </rPr>
      <t>断掉的那条腿，没了。移速 -6（最低 1）。你无法闪避攻击。</t>
    </r>
    <r>
      <rPr>
        <b/>
        <sz val="9"/>
        <color theme="1"/>
        <rFont val="宋体"/>
        <family val="3"/>
        <charset val="134"/>
      </rPr>
      <t>基础死亡豁免惩罚减值 +1。</t>
    </r>
  </si>
  <si>
    <t>头部严重伤势</t>
  </si>
  <si>
    <t>失去眼睛</t>
  </si>
  <si>
    <r>
      <rPr>
        <sz val="9"/>
        <color theme="1"/>
        <rFont val="宋体"/>
        <family val="3"/>
        <charset val="134"/>
      </rPr>
      <t>你的一只眼睛不见了。远程攻击和所有需要视觉的觉察判定 -4。</t>
    </r>
    <r>
      <rPr>
        <b/>
        <sz val="9"/>
        <color theme="1"/>
        <rFont val="宋体"/>
        <family val="3"/>
        <charset val="134"/>
      </rPr>
      <t>基础死亡豁免惩罚减值 +1。</t>
    </r>
  </si>
  <si>
    <t>脑损伤</t>
  </si>
  <si>
    <r>
      <rPr>
        <sz val="9"/>
        <color theme="1"/>
        <rFont val="宋体"/>
        <family val="3"/>
        <charset val="134"/>
      </rPr>
      <t>所有动作判定 -2，</t>
    </r>
    <r>
      <rPr>
        <b/>
        <sz val="9"/>
        <color theme="1"/>
        <rFont val="宋体"/>
        <family val="3"/>
        <charset val="134"/>
      </rPr>
      <t>基础死亡豁免惩罚减值 +1。</t>
    </r>
  </si>
  <si>
    <t>人性变动事件</t>
  </si>
  <si>
    <t>人性损失变化</t>
  </si>
  <si>
    <t>眼睛受损</t>
  </si>
  <si>
    <t>远程攻击和所有需要视觉的觉察判定 -2。</t>
  </si>
  <si>
    <t>手术DV13</t>
  </si>
  <si>
    <t>人性损失事件</t>
  </si>
  <si>
    <t>心理治疗</t>
  </si>
  <si>
    <t>脑震荡</t>
  </si>
  <si>
    <t>所有动作判定 -2。</t>
  </si>
  <si>
    <t>领骨骨折</t>
  </si>
  <si>
    <t>需要说话的所有动作判定 -4。</t>
  </si>
  <si>
    <t>头部异物</t>
  </si>
  <si>
    <t>在每个你徒步行进了超过 4m 的回合后，你都要重新
受到这个严重伤势的额外伤害，直接从生命值里扣除。</t>
  </si>
  <si>
    <t>挥鞭伤</t>
  </si>
  <si>
    <t>基础死亡豁免惩罚减值 +1。</t>
  </si>
  <si>
    <t>强化急救/
手术DV13</t>
  </si>
  <si>
    <t>颅骨骨裂</t>
  </si>
  <si>
    <r>
      <rPr>
        <sz val="9"/>
        <color theme="1"/>
        <rFont val="宋体"/>
        <family val="3"/>
        <charset val="134"/>
      </rPr>
      <t>瞄准你头部的瞄准射击造成的伤害在减去阻滞力之后倍数变为 3( 而不是 2)，</t>
    </r>
    <r>
      <rPr>
        <b/>
        <sz val="9"/>
        <color theme="1"/>
        <rFont val="宋体"/>
        <family val="3"/>
        <charset val="134"/>
      </rPr>
      <t>基础死亡豁免惩罚减值 +1。</t>
    </r>
  </si>
  <si>
    <t>强化急救/
手术DV15</t>
  </si>
  <si>
    <t>耳朵受损</t>
  </si>
  <si>
    <t>在每个你徒步行进了超过 4m 的回合后，下个回合将无法做出移动动作。所有需要听力的觉察判定 -2。</t>
  </si>
  <si>
    <t>气管破裂</t>
  </si>
  <si>
    <r>
      <rPr>
        <sz val="9"/>
        <color theme="1"/>
        <rFont val="宋体"/>
        <family val="3"/>
        <charset val="134"/>
      </rPr>
      <t>你说话只有含混的嘶嘶气声，无法说话。</t>
    </r>
    <r>
      <rPr>
        <b/>
        <sz val="9"/>
        <color theme="1"/>
        <rFont val="宋体"/>
        <family val="3"/>
        <charset val="134"/>
      </rPr>
      <t>基础死亡豁免惩罚减值 +1。</t>
    </r>
  </si>
  <si>
    <t>失去耳朵</t>
  </si>
  <si>
    <r>
      <rPr>
        <sz val="9"/>
        <color theme="1"/>
        <rFont val="宋体"/>
        <family val="3"/>
        <charset val="134"/>
      </rPr>
      <t>你的一只耳朵不见了。在每个你徒步行进了超过 4m的回合后，下个回合将无法做出移动动作。所有需要听力的觉察判定 -4，</t>
    </r>
    <r>
      <rPr>
        <b/>
        <sz val="9"/>
        <color theme="1"/>
        <rFont val="宋体"/>
        <family val="3"/>
        <charset val="134"/>
      </rPr>
      <t>基础死亡豁免惩罚减值 +1。</t>
    </r>
  </si>
  <si>
    <t>生命路径</t>
  </si>
  <si>
    <t>朋友</t>
  </si>
  <si>
    <t>精神病症状</t>
  </si>
  <si>
    <t>风格</t>
  </si>
  <si>
    <t>名字</t>
  </si>
  <si>
    <t>你们的关系</t>
  </si>
  <si>
    <t>详细描述</t>
  </si>
  <si>
    <t>文化区域</t>
  </si>
  <si>
    <t>母语</t>
  </si>
  <si>
    <t>性格</t>
  </si>
  <si>
    <t>发型</t>
  </si>
  <si>
    <t>衣着风格</t>
  </si>
  <si>
    <t>动机</t>
  </si>
  <si>
    <t>个性</t>
  </si>
  <si>
    <t>最看重</t>
  </si>
  <si>
    <t>最在乎</t>
  </si>
  <si>
    <t>观点</t>
  </si>
  <si>
    <t>宝物</t>
  </si>
  <si>
    <t>爱情</t>
  </si>
  <si>
    <t>目标</t>
  </si>
  <si>
    <t>家庭背景</t>
  </si>
  <si>
    <t>发生了什么</t>
  </si>
  <si>
    <t>童年环境</t>
  </si>
  <si>
    <t>家庭危机</t>
  </si>
  <si>
    <t>人物背景故事</t>
  </si>
  <si>
    <t>敌人</t>
  </si>
  <si>
    <t>关系如何</t>
  </si>
  <si>
    <t>什么导致的</t>
  </si>
  <si>
    <t>他会怎么样来找你</t>
  </si>
  <si>
    <t>你打算怎么做</t>
  </si>
  <si>
    <t>I.P.统计</t>
  </si>
  <si>
    <t>此工作表不参与自动计算，为记录用。</t>
  </si>
  <si>
    <t>成长记录</t>
  </si>
  <si>
    <t>I.P.点</t>
  </si>
  <si>
    <t>时间</t>
  </si>
  <si>
    <t>模组</t>
  </si>
  <si>
    <t>获得声望</t>
  </si>
  <si>
    <t>获得资金</t>
  </si>
  <si>
    <t>获得物品</t>
  </si>
  <si>
    <t>人性事件</t>
  </si>
  <si>
    <t>人性增减</t>
  </si>
  <si>
    <t>资金来源</t>
  </si>
  <si>
    <t>物品来源</t>
  </si>
  <si>
    <t>重要的时刻</t>
  </si>
  <si>
    <t>已获得</t>
  </si>
  <si>
    <t>属性消耗</t>
  </si>
  <si>
    <t>技能消耗</t>
  </si>
  <si>
    <t>能力成长表</t>
  </si>
  <si>
    <t>职业能力</t>
  </si>
  <si>
    <t>初始等级</t>
  </si>
  <si>
    <t>成长等级</t>
  </si>
  <si>
    <t>已消耗I.P.</t>
  </si>
  <si>
    <t>魅力冲击</t>
  </si>
  <si>
    <t>战斗直觉</t>
  </si>
  <si>
    <t>交互界面</t>
  </si>
  <si>
    <t>能工巧匠</t>
  </si>
  <si>
    <t>医疗圣手</t>
  </si>
  <si>
    <t>公众信誉</t>
  </si>
  <si>
    <t>团队合作</t>
  </si>
  <si>
    <t>后备支援</t>
  </si>
  <si>
    <t>八面玲珑</t>
  </si>
  <si>
    <t>引擎之友</t>
  </si>
  <si>
    <t>技能成长表</t>
  </si>
  <si>
    <t>技能名称</t>
  </si>
  <si>
    <t>原始技能</t>
  </si>
  <si>
    <t>成长技能</t>
  </si>
  <si>
    <t>懒骨头</t>
    <phoneticPr fontId="29" type="noConversion"/>
  </si>
  <si>
    <t>“祸害”</t>
    <phoneticPr fontId="29" type="noConversion"/>
  </si>
  <si>
    <t>男</t>
    <phoneticPr fontId="29" type="noConversion"/>
  </si>
  <si>
    <t>技工</t>
    <phoneticPr fontId="29" type="noConversion"/>
  </si>
  <si>
    <t>被收养的孤儿</t>
    <phoneticPr fontId="29" type="noConversion"/>
  </si>
  <si>
    <t>重型手枪</t>
    <phoneticPr fontId="29" type="noConversion"/>
  </si>
  <si>
    <t>3D6</t>
    <phoneticPr fontId="29" type="noConversion"/>
  </si>
  <si>
    <t>“止疼药”</t>
    <phoneticPr fontId="29" type="noConversion"/>
  </si>
  <si>
    <t>电击棍</t>
  </si>
  <si>
    <t>能</t>
    <phoneticPr fontId="29" type="noConversion"/>
  </si>
  <si>
    <t>一把旧式重型手枪，枪身磨损严重，握把缠着医用胶布。祸害很少主动使用它，但如果病人、帮派成员或赛博疯子试图在祸害堂里闹事，他会很自然地把它从医生外套里摸出来。
-----“别动。这个止疼快，就是副作用有点大。”</t>
    <phoneticPr fontId="29" type="noConversion"/>
  </si>
  <si>
    <t>“吐真剂”</t>
    <phoneticPr fontId="29" type="noConversion"/>
  </si>
  <si>
    <t>1d6</t>
    <phoneticPr fontId="29" type="noConversion"/>
  </si>
  <si>
    <t>外科</t>
  </si>
  <si>
    <t>应急专精</t>
  </si>
  <si>
    <t>不能</t>
    <phoneticPr fontId="29" type="noConversion"/>
  </si>
  <si>
    <t>2d6</t>
    <phoneticPr fontId="29" type="noConversion"/>
  </si>
  <si>
    <t>一把经过改造的高硬度手术刀，刀身极薄，刀柄上缠着发黄的医用胶布。祸害坚持说这不是武器，而是一件“沟通工具”。
----- “我只是想和你敞开心扉聊聊”</t>
    <phoneticPr fontId="29" type="noConversion"/>
  </si>
  <si>
    <t>气动注射器</t>
  </si>
  <si>
    <t>“麻醉针”</t>
    <phoneticPr fontId="29" type="noConversion"/>
  </si>
  <si>
    <t>自己的诊所</t>
    <phoneticPr fontId="29" type="noConversion"/>
  </si>
  <si>
    <t>掌上代理</t>
    <phoneticPr fontId="29" type="noConversion"/>
  </si>
  <si>
    <t>手电筒</t>
    <phoneticPr fontId="29" type="noConversion"/>
  </si>
  <si>
    <t>手铐</t>
    <phoneticPr fontId="29" type="noConversion"/>
  </si>
  <si>
    <t>小刀</t>
    <phoneticPr fontId="29" type="noConversion"/>
  </si>
  <si>
    <t>技医工具包</t>
    <phoneticPr fontId="29" type="noConversion"/>
  </si>
  <si>
    <t>技工工具包</t>
    <phoneticPr fontId="29" type="noConversion"/>
  </si>
  <si>
    <t>一根伪装成旧拐杖的电击棍，平时靠在诊疗台旁边。祸害声称这是“非侵入式安抚设备”，但被它打过的人通常不这么认为。
-----“只要被轻轻扎一下，你看，这不就老实了？”</t>
    <phoneticPr fontId="29" type="noConversion"/>
  </si>
  <si>
    <t>轻型装甲夹克</t>
    <phoneticPr fontId="29" type="noConversion"/>
  </si>
  <si>
    <t>可穿在旧医生外套下，轻便、柔软，不影响手术动作</t>
    <phoneticPr fontId="29" type="noConversion"/>
  </si>
  <si>
    <t>“手术外套”</t>
    <phoneticPr fontId="29" type="noConversion"/>
  </si>
  <si>
    <t>个人卫生包</t>
    <phoneticPr fontId="29" type="noConversion"/>
  </si>
  <si>
    <t>普通人造食品级别</t>
    <phoneticPr fontId="29" type="noConversion"/>
  </si>
  <si>
    <t>通用朋克（鞋类）</t>
    <phoneticPr fontId="29" type="noConversion"/>
  </si>
  <si>
    <t>通用朋克（上装）</t>
    <phoneticPr fontId="29" type="noConversion"/>
  </si>
  <si>
    <t>通用朋克（下装）</t>
    <phoneticPr fontId="29" type="noConversion"/>
  </si>
  <si>
    <t>技医</t>
    <phoneticPr fontId="29" type="noConversion"/>
  </si>
  <si>
    <t>生物监测器</t>
    <phoneticPr fontId="29" type="noConversion"/>
  </si>
  <si>
    <t>购物中心</t>
    <phoneticPr fontId="29" type="noConversion"/>
  </si>
  <si>
    <t>“为了防止自己猝死装的”</t>
    <phoneticPr fontId="29" type="noConversion"/>
  </si>
  <si>
    <t>神经链路</t>
    <phoneticPr fontId="29" type="noConversion"/>
  </si>
  <si>
    <t>诊所</t>
    <phoneticPr fontId="29" type="noConversion"/>
  </si>
  <si>
    <t>赛博义眼</t>
    <phoneticPr fontId="29" type="noConversion"/>
  </si>
  <si>
    <t>安装了“交互接口”</t>
    <phoneticPr fontId="29" type="noConversion"/>
  </si>
  <si>
    <t>基础弹药</t>
    <phoneticPr fontId="29" type="noConversion"/>
  </si>
  <si>
    <t>单眼，安装了“字幕功能”和“微显微镜”</t>
    <phoneticPr fontId="29" type="noConversion"/>
  </si>
  <si>
    <t>中文</t>
    <phoneticPr fontId="29" type="noConversion"/>
  </si>
  <si>
    <t>夜城街区</t>
    <phoneticPr fontId="29" type="noConversion"/>
  </si>
  <si>
    <t>凌乱黑发，夹杂少量灰白发丝</t>
    <phoneticPr fontId="29" type="noConversion"/>
  </si>
  <si>
    <t>旧医生外套混合中式长衫，口袋里塞满奇怪的医疗工具、针包、义体接口线和药剂</t>
    <phoneticPr fontId="29" type="noConversion"/>
  </si>
  <si>
    <t>怪异、古怪的怪医，治疗手段独特而高超，手法野，往往把手术、草药、义体修复、电刺激混在一起</t>
    <phoneticPr fontId="29" type="noConversion"/>
  </si>
  <si>
    <t>诊所、医疗工具、病人的生死</t>
    <phoneticPr fontId="29" type="noConversion"/>
  </si>
  <si>
    <t>病人是否配合、规矩是否被遵守</t>
    <phoneticPr fontId="29" type="noConversion"/>
  </si>
  <si>
    <t>“吐真剂”、“医嘱”、旧针包、医疗箱</t>
    <phoneticPr fontId="29" type="noConversion"/>
  </si>
  <si>
    <t>街头、黑诊所、旧药柜、手术台、欠账本之间成长</t>
    <phoneticPr fontId="29" type="noConversion"/>
  </si>
  <si>
    <t>不谈过去，任何打听过去的人都会被怼或翻倍收费</t>
    <phoneticPr fontId="29" type="noConversion"/>
  </si>
  <si>
    <t>别让诊所倒闭，少死几个“不遵医嘱的傻逼”</t>
    <phoneticPr fontId="29" type="noConversion"/>
  </si>
  <si>
    <t>有钱看病，没钱滚蛋</t>
    <phoneticPr fontId="29" type="noConversion"/>
  </si>
  <si>
    <t>基于职业的生命路径</t>
    <phoneticPr fontId="29" type="noConversion"/>
  </si>
  <si>
    <r>
      <t xml:space="preserve">雨下得很脏。
两个人站在巷子口躲雨，一个捂着还在流血的手臂，另一个往巷子深处看。
“你确定是这儿？”
“牌子都在那儿了，还能错？”
巷子尽头挂着一块旧招牌，被红油漆和荧光涂料刷得乱七八糟。牌子像是原本写过什么正经话，但已经被涂得只剩几道模糊旧痕。现在最显眼的，是一行歪斜刺眼的大字：
</t>
    </r>
    <r>
      <rPr>
        <b/>
        <sz val="11"/>
        <color rgb="FFC00000"/>
        <rFont val="宋体"/>
        <family val="3"/>
        <charset val="134"/>
      </rPr>
      <t>有病来治，爱死不死。</t>
    </r>
    <r>
      <rPr>
        <sz val="11"/>
        <color theme="1"/>
        <rFont val="宋体"/>
        <family val="3"/>
        <charset val="134"/>
      </rPr>
      <t xml:space="preserve">
受伤的那人沉默了一下。
“这地方看着不像诊所。”
“本来就不像。”同伴说，“祸害堂嘛。你见过哪家诊所门口挂着半截香炉、两个监控、三串不知道干什么的电线，还有一只会骂人的电子鹦鹉？”
“电子鹦鹉？”
话音刚落，门口那只缺了半边羽毛的机械鸟忽然亮起红眼。
“</t>
    </r>
    <r>
      <rPr>
        <b/>
        <i/>
        <sz val="11"/>
        <color theme="1"/>
        <rFont val="宋体"/>
        <family val="3"/>
        <charset val="134"/>
      </rPr>
      <t>穷鬼别进！穷鬼别进！先答题，后看病！</t>
    </r>
    <r>
      <rPr>
        <sz val="11"/>
        <color theme="1"/>
        <rFont val="宋体"/>
        <family val="3"/>
        <charset val="134"/>
      </rPr>
      <t>”
受伤的人嘴角抽了一下。
“这医生什么毛病？”
“怪毛病多着呢。”同伴压低声音，“听说他给人看病的时候，一边放老戏曲，一边开手术灯；药柜上不写药名，写‘吃了别死’、‘疼了活该’、‘三号蠢货专用’；手术台旁边还摆着财神、除颤器和一台拆了一半的自动售货机。”
“自动售货机干什么用？”
“不知道。有人说是麻醉机，有人说是呼吸机，还有人说它真能卖饮料。”
受伤的人看着自己流血的胳膊，脸色有点发白。
“他到底会不会治？”
“会。”同伴说，“虽然看着像骗子，但医术是真的高。枪伤、感染、义体排异、神经烧坏，他都敢接。正规医院不收的，帮派医生不敢动的，很多最后都往这儿送。”
“怎么治？”
“这就更怪了。”同伴咧了咧嘴，“别人做手术用无菌器械，他用无菌器械、旧针包、草药贴、电刺激线，还有一把看起来像修摩托的扳手。上次有人义体接口烧了，他一边骂人一边拿电线重新接，接完还给人贴了张膏药，说‘祖传散热方案’。”
“这听起来像谋杀。”
“但人活了。”
“……那还行。”
同伴又看了一眼那扇门。
“而且他人也怪。明明才三十出头，看着像四十多，整天一副刚从停尸房加班出来的样子。说话特别难听，病人疼得叫，他骂人家吵；病人不叫，他又骂人家快死了还装硬汉。”
受伤的人皱眉。
“那心肠怎么样？”
“传闻说不坏。”同伴耸肩，“有人说他嘴上骂‘爱死不死’，但真送到手术台上，通常还是会救。也有人说他给没钱的小孩赊过药，不过这话别当他面说。”
“为什么？”
“他会加钱。”
雨水顺着招牌往下滴，红色油漆被冲得像血一样。
受伤的人深吸一口气，刚要往前走，诊所门忽然“咔哒”一声开了。
冷白色灯光从门缝里切出来。
一个穿旧医生外套的男人站在门后，眼下青黑，嘴里叼着烟，手上还戴着一只沾着消毒水味的手套。他扫了一眼那条流血的手臂，又看向两人。
“谁要治？”
受伤的人举手。
男人冷笑了一声。
“看出来了，血都替你报名了。”
他往外走了半步。
“进门先答题。”
受伤的人愣住。
“现在？”
男人皱起眉。
“不然等你死了我问尸体？”
他低头点了点烟灰，声音懒得要命。
“听好，什么东西，越治越欠揍？”</t>
    </r>
    <phoneticPr fontId="29" type="noConversion"/>
  </si>
  <si>
    <t>“祸害”是一名旧城区赤脚医生，经营黑诊所“祸害堂”。他医术高超但手段怪异，主要救治帮派成员、街头佣兵和正规医疗体系不愿接收的人。他依靠黑市药品、二手义体零件和街头人情维持诊所运转，名声很差但救活过很多人。</t>
    <phoneticPr fontId="29" type="noConversion"/>
  </si>
  <si>
    <t>孤僻、嘴毒、刻薄、警惕、怪异。病人不听话会被骂，但据说只要还能喘气，他通常都会救。</t>
    <phoneticPr fontId="29" type="noConversion"/>
  </si>
  <si>
    <t>不明，街坊邻居都叫他姓陆医生，是个可怜孩子，再多的就不肯说了</t>
    <phoneticPr fontId="29" type="noConversion"/>
  </si>
  <si>
    <t>“算盘”</t>
    <phoneticPr fontId="29" type="noConversion"/>
  </si>
  <si>
    <t>“老铁”</t>
    <phoneticPr fontId="29" type="noConversion"/>
  </si>
  <si>
    <t>常客 / 欠账病人</t>
    <phoneticPr fontId="29" type="noConversion"/>
  </si>
  <si>
    <t>公司战争退下来的佣兵，常年接低价危险委托，身上旧伤和廉价义体问题不断。每次快死或修不起义体时都会跑到祸害堂，欠了不少医药费。祸害嘴上骂他但通常还是会救。</t>
    <phoneticPr fontId="29" type="noConversion"/>
  </si>
  <si>
    <t>黑市药贩</t>
    <phoneticPr fontId="29" type="noConversion"/>
  </si>
  <si>
    <t>长期给祸害堂供药，嘴上互相嫌弃，但偶尔会给便宜货。两人合作久，算是暗中支持祸害运作的人。</t>
    <phoneticPr fontId="29" type="noConversion"/>
  </si>
  <si>
    <t>“螺母”</t>
    <phoneticPr fontId="29" type="noConversion"/>
  </si>
  <si>
    <t>拆机匠 / 零件供应</t>
    <phoneticPr fontId="29" type="noConversion"/>
  </si>
  <si>
    <t>陈主任</t>
  </si>
  <si>
    <t>红姐</t>
  </si>
  <si>
    <t>不想“祸害”的才华被埋没，用强硬手段逼迫诊所关门，逼迫其为自己手下的公司医疗部人员工作</t>
    <phoneticPr fontId="29" type="noConversion"/>
  </si>
  <si>
    <t>通过检查、举报、行政施压，或者派人来“劝”祸害堂停业整顿</t>
    <phoneticPr fontId="29" type="noConversion"/>
  </si>
  <si>
    <t>“金牙”</t>
    <phoneticPr fontId="29" type="noConversion"/>
  </si>
  <si>
    <t>互相看不顺眼</t>
    <phoneticPr fontId="29" type="noConversion"/>
  </si>
  <si>
    <t>金牙卖翻新义体、劣质神经接口和来路不明的医疗零件，祸害修过太多他害出来的病人，还当众骂过他的货是“装进身体里的垃圾”</t>
    <phoneticPr fontId="29" type="noConversion"/>
  </si>
  <si>
    <t>派小弟来威胁，断祸害的零件来源，或者把医疗事故甩锅给“祸害”</t>
    <phoneticPr fontId="29" type="noConversion"/>
  </si>
  <si>
    <t>继续拆他的台，但不主动追杀；遇到他的烂货就修，修完顺手告诉病人是谁害的</t>
    <phoneticPr fontId="29" type="noConversion"/>
  </si>
  <si>
    <t>来一次骂一次，让他赶紧滚。或是想办法搞到正规的营业执照让他永远闭嘴</t>
    <phoneticPr fontId="29" type="noConversion"/>
  </si>
  <si>
    <t>金牙是黑市义体商，笑起来满口金属牙，最擅长把废品包装成高级货。他和“祸害”不是血仇，但利益冲突很深。祸害看不起他的货，金牙也讨厌“祸害”坏他好事。</t>
    <phoneticPr fontId="29" type="noConversion"/>
  </si>
  <si>
    <t>由于其各种手段使“祸害”非常讨厌他</t>
    <phoneticPr fontId="29" type="noConversion"/>
  </si>
  <si>
    <t>她的老公曾被送进祸害堂抢救，但伤势太重没能活下来。红姐认定祸害没有尽全力，或者至少隐瞒了什么</t>
    <phoneticPr fontId="29" type="noConversion"/>
  </si>
  <si>
    <t>在街头散布传闻，找人上门质问，或者在祸害接委托时突然出现阻挠</t>
    <phoneticPr fontId="29" type="noConversion"/>
  </si>
  <si>
    <t>她恨透了“祸害”，“祸害”却对其心怀愧疚</t>
    <phoneticPr fontId="29" type="noConversion"/>
  </si>
  <si>
    <t>红姐不是坏人，她只是失去了亲人，需要一个能恨的人。“祸害”不喜欢解释失败，也不愿意把手术细节拿来证明自己无辜，所以这段关系一直僵着。</t>
    <phoneticPr fontId="29" type="noConversion"/>
  </si>
  <si>
    <t>由于心怀愧疚，不解释太多，保持距离；如果她真的遇到危险，“祸害”大概率还是会救</t>
    <phoneticPr fontId="29" type="noConversion"/>
  </si>
  <si>
    <t>“我一没钱二没权三没时间，谁看得上我？再问手术费加倍” 
---来自“祸害”某次的手术期间</t>
    <phoneticPr fontId="29" type="noConversion"/>
  </si>
  <si>
    <t>提供二手义体零件和修补材料，“祸害”觉得他的东西十件有三件能用，螺母觉得这已经是最高评价。</t>
    <phoneticPr fontId="29" type="noConversion"/>
  </si>
  <si>
    <t>陈主任是公司医疗体系的人，表面温和专业，实际只关心成本、责任和公司利益。他不一定想杀“祸害”，但很想让祸害堂闭嘴、关门，或者至少别再破坏公司医疗的生意。但是偶尔会偷偷的资助“祸害堂”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</si>
</sst>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134"/>
    </font>
    <font>
      <sz val="11"/>
      <name val="宋体"/>
      <charset val="134"/>
    </font>
    <font>
      <sz val="11"/>
      <color theme="9" tint="-0.249977111117893"/>
      <name val="宋体"/>
      <charset val="134"/>
    </font>
    <font>
      <sz val="11"/>
      <color rgb="FFFF0000"/>
      <name val="宋体"/>
      <charset val="134"/>
    </font>
    <font>
      <sz val="11"/>
      <color theme="2" tint="-0.749992370372631"/>
      <name val="宋体"/>
      <charset val="134"/>
    </font>
    <font>
      <sz val="11"/>
      <color theme="1" tint="0.14993743705557422"/>
      <name val="宋体"/>
      <charset val="134"/>
    </font>
    <font>
      <sz val="9"/>
      <name val="宋体"/>
      <charset val="134"/>
    </font>
    <font>
      <sz val="9"/>
      <color theme="0"/>
      <name val="宋体"/>
      <charset val="134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sz val="10"/>
      <color theme="1"/>
      <name val="宋体"/>
      <charset val="134"/>
    </font>
    <font>
      <sz val="10"/>
      <color theme="9" tint="-0.249977111117893"/>
      <name val="宋体"/>
      <charset val="134"/>
    </font>
    <font>
      <sz val="8"/>
      <color theme="0"/>
      <name val="宋体"/>
      <charset val="134"/>
    </font>
    <font>
      <b/>
      <sz val="10.45"/>
      <color rgb="FF000000"/>
      <name val="黑体"/>
      <charset val="134"/>
    </font>
    <font>
      <sz val="10"/>
      <color theme="0"/>
      <name val="宋体"/>
      <charset val="134"/>
    </font>
    <font>
      <sz val="11"/>
      <name val="宋体"/>
      <charset val="134"/>
      <scheme val="minor"/>
    </font>
    <font>
      <sz val="8"/>
      <name val="宋体"/>
      <charset val="134"/>
    </font>
    <font>
      <sz val="11"/>
      <color theme="1" tint="0.249977111117893"/>
      <name val="宋体"/>
      <charset val="134"/>
    </font>
    <font>
      <sz val="9"/>
      <color theme="1" tint="0.249977111117893"/>
      <name val="宋体"/>
      <charset val="134"/>
    </font>
    <font>
      <sz val="9"/>
      <color theme="1" tint="0.14993743705557422"/>
      <name val="宋体"/>
      <charset val="134"/>
    </font>
    <font>
      <sz val="10"/>
      <name val="宋体"/>
      <charset val="134"/>
    </font>
    <font>
      <sz val="11"/>
      <color theme="1"/>
      <name val="微软雅黑"/>
      <charset val="134"/>
    </font>
    <font>
      <sz val="11"/>
      <color theme="1"/>
      <name val="MiSans Semibold"/>
      <family val="1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i/>
      <sz val="11"/>
      <color theme="1"/>
      <name val="宋体"/>
      <family val="3"/>
      <charset val="134"/>
    </font>
    <font>
      <b/>
      <sz val="11"/>
      <color rgb="FFC0000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 tint="-0.499984740745262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/>
      </top>
      <bottom/>
      <diagonal/>
    </border>
    <border>
      <left/>
      <right style="thin">
        <color theme="0" tint="-0.499984740745262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499984740745262"/>
      </right>
      <top/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27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31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2" fillId="4" borderId="8" xfId="0" applyFont="1" applyFill="1" applyBorder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5" xfId="0" applyFont="1" applyFill="1" applyBorder="1">
      <alignment vertical="center"/>
    </xf>
    <xf numFmtId="0" fontId="1" fillId="0" borderId="3" xfId="0" applyFont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1" fillId="0" borderId="0" xfId="0" applyFont="1" applyAlignment="1">
      <alignment horizontal="center" vertical="center" wrapText="1"/>
    </xf>
    <xf numFmtId="0" fontId="3" fillId="3" borderId="0" xfId="0" applyFont="1" applyFill="1">
      <alignment vertical="center"/>
    </xf>
    <xf numFmtId="0" fontId="3" fillId="0" borderId="0" xfId="0" applyFont="1">
      <alignment vertical="center"/>
    </xf>
    <xf numFmtId="0" fontId="1" fillId="5" borderId="0" xfId="0" applyFont="1" applyFill="1" applyAlignment="1">
      <alignment horizontal="center" vertical="center"/>
    </xf>
    <xf numFmtId="0" fontId="3" fillId="5" borderId="3" xfId="0" applyFont="1" applyFill="1" applyBorder="1">
      <alignment vertical="center"/>
    </xf>
    <xf numFmtId="0" fontId="3" fillId="5" borderId="14" xfId="0" applyFont="1" applyFill="1" applyBorder="1">
      <alignment vertical="center"/>
    </xf>
    <xf numFmtId="0" fontId="3" fillId="5" borderId="3" xfId="0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10" xfId="0" applyFont="1" applyBorder="1">
      <alignment vertical="center"/>
    </xf>
    <xf numFmtId="0" fontId="2" fillId="0" borderId="3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18" xfId="0" applyFont="1" applyFill="1" applyBorder="1">
      <alignment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0" fontId="1" fillId="5" borderId="17" xfId="0" applyFont="1" applyFill="1" applyBorder="1">
      <alignment vertical="center"/>
    </xf>
    <xf numFmtId="0" fontId="3" fillId="0" borderId="24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2" fillId="5" borderId="0" xfId="0" applyFont="1" applyFill="1">
      <alignment vertical="center"/>
    </xf>
    <xf numFmtId="0" fontId="3" fillId="0" borderId="3" xfId="0" applyFont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3" fillId="3" borderId="8" xfId="0" applyFont="1" applyFill="1" applyBorder="1">
      <alignment vertical="center"/>
    </xf>
    <xf numFmtId="0" fontId="14" fillId="4" borderId="2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2" fillId="3" borderId="27" xfId="0" applyFont="1" applyFill="1" applyBorder="1">
      <alignment vertical="center"/>
    </xf>
    <xf numFmtId="0" fontId="3" fillId="3" borderId="27" xfId="0" applyFont="1" applyFill="1" applyBorder="1">
      <alignment vertical="center"/>
    </xf>
    <xf numFmtId="0" fontId="16" fillId="2" borderId="6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2" fillId="4" borderId="4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16" fillId="9" borderId="0" xfId="0" applyFont="1" applyFill="1" applyAlignment="1">
      <alignment horizontal="left" vertical="center"/>
    </xf>
    <xf numFmtId="0" fontId="16" fillId="9" borderId="0" xfId="0" applyFont="1" applyFill="1">
      <alignment vertical="center"/>
    </xf>
    <xf numFmtId="0" fontId="3" fillId="0" borderId="21" xfId="0" applyFont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0" fontId="3" fillId="0" borderId="20" xfId="0" applyFont="1" applyBorder="1" applyAlignment="1">
      <alignment horizontal="center" vertical="center"/>
    </xf>
    <xf numFmtId="0" fontId="9" fillId="4" borderId="1" xfId="0" applyFont="1" applyFill="1" applyBorder="1">
      <alignment vertical="center"/>
    </xf>
    <xf numFmtId="0" fontId="14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8" fillId="3" borderId="0" xfId="0" applyFont="1" applyFill="1">
      <alignment vertical="center"/>
    </xf>
    <xf numFmtId="0" fontId="18" fillId="5" borderId="0" xfId="0" applyFont="1" applyFill="1">
      <alignment vertical="center"/>
    </xf>
    <xf numFmtId="0" fontId="19" fillId="5" borderId="4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9" borderId="1" xfId="0" applyFont="1" applyFill="1" applyBorder="1">
      <alignment vertical="center"/>
    </xf>
    <xf numFmtId="0" fontId="20" fillId="5" borderId="0" xfId="0" applyFont="1" applyFill="1">
      <alignment vertical="center"/>
    </xf>
    <xf numFmtId="0" fontId="21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9" borderId="3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4" borderId="0" xfId="0" applyFont="1" applyFill="1">
      <alignment vertical="center"/>
    </xf>
    <xf numFmtId="0" fontId="22" fillId="5" borderId="1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16" fillId="7" borderId="6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6" fillId="7" borderId="22" xfId="0" applyFont="1" applyFill="1" applyBorder="1" applyAlignment="1">
      <alignment horizontal="left" vertical="center"/>
    </xf>
    <xf numFmtId="0" fontId="16" fillId="7" borderId="7" xfId="0" applyFont="1" applyFill="1" applyBorder="1" applyAlignment="1">
      <alignment horizontal="left" vertical="center"/>
    </xf>
    <xf numFmtId="0" fontId="16" fillId="7" borderId="28" xfId="0" applyFont="1" applyFill="1" applyBorder="1" applyAlignment="1">
      <alignment horizontal="left" vertical="center"/>
    </xf>
    <xf numFmtId="0" fontId="16" fillId="7" borderId="5" xfId="0" applyFont="1" applyFill="1" applyBorder="1" applyAlignment="1">
      <alignment horizontal="left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6" fillId="7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4" borderId="34" xfId="0" applyFont="1" applyFill="1" applyBorder="1" applyAlignment="1">
      <alignment horizontal="left" vertical="center"/>
    </xf>
    <xf numFmtId="0" fontId="2" fillId="4" borderId="39" xfId="0" applyFont="1" applyFill="1" applyBorder="1" applyAlignment="1">
      <alignment horizontal="left" vertical="center"/>
    </xf>
    <xf numFmtId="0" fontId="2" fillId="4" borderId="42" xfId="0" applyFont="1" applyFill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44" xfId="0" applyFont="1" applyFill="1" applyBorder="1" applyAlignment="1">
      <alignment horizontal="left" vertical="center"/>
    </xf>
    <xf numFmtId="0" fontId="3" fillId="5" borderId="41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3" xfId="0" applyFont="1" applyBorder="1">
      <alignment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5" borderId="15" xfId="0" applyFont="1" applyFill="1" applyBorder="1">
      <alignment vertical="center"/>
    </xf>
    <xf numFmtId="0" fontId="1" fillId="5" borderId="3" xfId="0" applyFont="1" applyFill="1" applyBorder="1">
      <alignment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10" xfId="0" applyFont="1" applyBorder="1">
      <alignment vertical="center"/>
    </xf>
    <xf numFmtId="0" fontId="6" fillId="3" borderId="0" xfId="0" applyFont="1" applyFill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top" wrapText="1"/>
    </xf>
    <xf numFmtId="0" fontId="10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0" fillId="0" borderId="29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33" fillId="0" borderId="12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6" borderId="16" xfId="0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0" fontId="31" fillId="0" borderId="24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4" fillId="0" borderId="3" xfId="0" applyFont="1" applyBorder="1">
      <alignment vertical="center"/>
    </xf>
    <xf numFmtId="0" fontId="34" fillId="0" borderId="3" xfId="0" applyFont="1" applyBorder="1" applyAlignment="1">
      <alignment vertical="center" wrapText="1"/>
    </xf>
    <xf numFmtId="0" fontId="34" fillId="0" borderId="11" xfId="0" applyFont="1" applyBorder="1" applyAlignment="1">
      <alignment vertical="center" wrapText="1"/>
    </xf>
    <xf numFmtId="0" fontId="34" fillId="0" borderId="10" xfId="0" applyFont="1" applyBorder="1" applyAlignment="1">
      <alignment vertical="center" wrapText="1"/>
    </xf>
    <xf numFmtId="0" fontId="32" fillId="4" borderId="8" xfId="0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3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4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34" fillId="0" borderId="21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</cellXfs>
  <cellStyles count="1">
    <cellStyle name="常规" xfId="0" builtinId="0"/>
  </cellStyles>
  <dxfs count="27">
    <dxf>
      <font>
        <color rgb="FFFF000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5" tint="0.39991454817346722"/>
        </patternFill>
      </fill>
    </dxf>
    <dxf>
      <font>
        <color theme="1" tint="0.249977111117893"/>
      </font>
      <fill>
        <patternFill patternType="solid">
          <bgColor theme="6" tint="0.39991454817346722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theme="9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FF1D2E10"/>
      <color rgb="FF00FE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16567</xdr:colOff>
      <xdr:row>3</xdr:row>
      <xdr:rowOff>0</xdr:rowOff>
    </xdr:from>
    <xdr:to>
      <xdr:col>5</xdr:col>
      <xdr:colOff>607393</xdr:colOff>
      <xdr:row>14</xdr:row>
      <xdr:rowOff>11309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CFDE051-32E4-C52F-DF13-11802C3CD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915" y="480391"/>
          <a:ext cx="2153478" cy="195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selection activeCell="I17" sqref="I17"/>
    </sheetView>
  </sheetViews>
  <sheetFormatPr defaultColWidth="8.90625" defaultRowHeight="16.5"/>
  <cols>
    <col min="1" max="16384" width="8.90625" style="97"/>
  </cols>
  <sheetData>
    <row r="1" spans="1:9">
      <c r="A1" s="97" t="s">
        <v>0</v>
      </c>
    </row>
    <row r="2" spans="1:9">
      <c r="A2" s="97" t="s">
        <v>1</v>
      </c>
      <c r="I2" s="97" t="s">
        <v>2</v>
      </c>
    </row>
    <row r="3" spans="1:9">
      <c r="A3" s="97" t="s">
        <v>3</v>
      </c>
    </row>
    <row r="5" spans="1:9">
      <c r="A5" s="97" t="s">
        <v>4</v>
      </c>
    </row>
    <row r="7" spans="1:9">
      <c r="A7" s="97" t="s">
        <v>5</v>
      </c>
    </row>
    <row r="8" spans="1:9">
      <c r="A8" s="97" t="s">
        <v>6</v>
      </c>
    </row>
    <row r="9" spans="1:9">
      <c r="A9" s="97" t="s">
        <v>7</v>
      </c>
    </row>
    <row r="11" spans="1:9">
      <c r="A11" s="97" t="s">
        <v>8</v>
      </c>
    </row>
    <row r="13" spans="1:9">
      <c r="A13" s="97" t="s">
        <v>9</v>
      </c>
    </row>
    <row r="15" spans="1:9">
      <c r="A15" s="97" t="s">
        <v>10</v>
      </c>
      <c r="I15" s="98"/>
    </row>
    <row r="16" spans="1:9">
      <c r="A16" s="97" t="s">
        <v>11</v>
      </c>
    </row>
    <row r="17" spans="1:4">
      <c r="A17" s="97" t="s">
        <v>12</v>
      </c>
    </row>
    <row r="19" spans="1:4">
      <c r="A19" s="97" t="s">
        <v>13</v>
      </c>
      <c r="B19" s="179" t="s">
        <v>14</v>
      </c>
      <c r="C19" s="179"/>
      <c r="D19" s="97" t="s">
        <v>15</v>
      </c>
    </row>
    <row r="20" spans="1:4">
      <c r="A20" s="97" t="s">
        <v>16</v>
      </c>
      <c r="C20" s="97" t="s">
        <v>17</v>
      </c>
    </row>
    <row r="22" spans="1:4">
      <c r="A22" s="97" t="s">
        <v>18</v>
      </c>
    </row>
    <row r="24" spans="1:4">
      <c r="A24" s="97" t="s">
        <v>19</v>
      </c>
    </row>
    <row r="26" spans="1:4">
      <c r="A26" s="97" t="s">
        <v>20</v>
      </c>
    </row>
    <row r="27" spans="1:4">
      <c r="A27" s="97" t="s">
        <v>21</v>
      </c>
    </row>
  </sheetData>
  <mergeCells count="1">
    <mergeCell ref="B19:C19"/>
  </mergeCells>
  <phoneticPr fontId="2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7"/>
  <sheetViews>
    <sheetView zoomScale="115" zoomScaleNormal="115" workbookViewId="0">
      <selection activeCell="G16" sqref="G16"/>
    </sheetView>
  </sheetViews>
  <sheetFormatPr defaultColWidth="8.90625" defaultRowHeight="14"/>
  <cols>
    <col min="1" max="1" width="8.6328125" style="29" customWidth="1"/>
    <col min="2" max="2" width="1.7265625" style="29" customWidth="1"/>
    <col min="3" max="3" width="6.7265625" style="29" customWidth="1"/>
    <col min="4" max="4" width="8.90625" style="29"/>
    <col min="5" max="5" width="6.7265625" style="29" customWidth="1"/>
    <col min="6" max="6" width="8.90625" style="29"/>
    <col min="7" max="7" width="1.7265625" style="29" customWidth="1"/>
    <col min="8" max="8" width="4.7265625" style="29" customWidth="1"/>
    <col min="9" max="9" width="1.7265625" style="29" customWidth="1"/>
    <col min="10" max="10" width="6.7265625" style="29" customWidth="1"/>
    <col min="11" max="11" width="4.7265625" style="29" customWidth="1"/>
    <col min="12" max="12" width="2.7265625" style="29" customWidth="1"/>
    <col min="13" max="14" width="1.7265625" style="29" customWidth="1"/>
    <col min="15" max="15" width="6.7265625" style="57" customWidth="1"/>
    <col min="16" max="16" width="4.7265625" style="29" customWidth="1"/>
    <col min="17" max="17" width="1.7265625" style="29" customWidth="1"/>
    <col min="18" max="18" width="4.7265625" style="29" customWidth="1"/>
    <col min="19" max="19" width="1.7265625" style="29" customWidth="1"/>
    <col min="20" max="20" width="3.7265625" style="29" customWidth="1"/>
    <col min="21" max="21" width="7.7265625" style="29" customWidth="1"/>
    <col min="22" max="24" width="6.7265625" style="29" customWidth="1"/>
    <col min="25" max="25" width="1.7265625" style="29" customWidth="1"/>
    <col min="26" max="26" width="3.7265625" style="29" customWidth="1"/>
    <col min="27" max="27" width="7.7265625" style="29" customWidth="1"/>
    <col min="28" max="28" width="6.7265625" style="29" customWidth="1"/>
    <col min="29" max="29" width="3.7265625" style="29" customWidth="1"/>
    <col min="30" max="30" width="1.7265625" style="29" customWidth="1"/>
    <col min="31" max="31" width="6.7265625" style="29" customWidth="1"/>
    <col min="32" max="32" width="1.7265625" style="29" customWidth="1"/>
    <col min="33" max="33" width="3.7265625" style="29" customWidth="1"/>
    <col min="34" max="34" width="7.7265625" style="29" customWidth="1"/>
    <col min="35" max="37" width="6.7265625" style="29" customWidth="1"/>
    <col min="38" max="38" width="1.7265625" style="29" customWidth="1"/>
    <col min="39" max="16384" width="8.90625" style="29"/>
  </cols>
  <sheetData>
    <row r="1" spans="1:47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</row>
    <row r="2" spans="1:47">
      <c r="A2" s="58"/>
      <c r="B2" s="3" t="s">
        <v>22</v>
      </c>
      <c r="C2" s="5"/>
      <c r="D2" s="5"/>
      <c r="E2" s="58"/>
      <c r="F2" s="58"/>
      <c r="G2" s="58"/>
      <c r="H2" s="58"/>
      <c r="I2" s="3" t="s">
        <v>23</v>
      </c>
      <c r="J2" s="5"/>
      <c r="K2" s="5"/>
      <c r="L2" s="58"/>
      <c r="M2" s="60"/>
      <c r="N2" s="3" t="s">
        <v>24</v>
      </c>
      <c r="O2" s="4"/>
      <c r="P2" s="5"/>
      <c r="Q2" s="58"/>
      <c r="R2" s="58"/>
      <c r="S2" s="3" t="s">
        <v>25</v>
      </c>
      <c r="T2" s="5"/>
      <c r="U2" s="5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</row>
    <row r="3" spans="1:47" ht="10" customHeight="1">
      <c r="A3" s="58"/>
      <c r="B3" s="28"/>
      <c r="C3" s="28"/>
      <c r="D3" s="28"/>
      <c r="E3" s="28"/>
      <c r="F3" s="28"/>
      <c r="G3" s="28"/>
      <c r="H3" s="58"/>
      <c r="I3" s="28"/>
      <c r="J3" s="28"/>
      <c r="K3" s="28"/>
      <c r="L3" s="28"/>
      <c r="M3" s="58"/>
      <c r="N3" s="28"/>
      <c r="O3" s="56"/>
      <c r="P3" s="28"/>
      <c r="Q3" s="28"/>
      <c r="R3" s="5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58"/>
    </row>
    <row r="4" spans="1:47">
      <c r="A4" s="58"/>
      <c r="B4" s="56"/>
      <c r="C4" s="106"/>
      <c r="D4" s="106"/>
      <c r="E4" s="106"/>
      <c r="F4" s="106"/>
      <c r="G4" s="28"/>
      <c r="H4" s="58"/>
      <c r="I4" s="28"/>
      <c r="J4" s="99" t="s">
        <v>26</v>
      </c>
      <c r="K4" s="134">
        <v>8</v>
      </c>
      <c r="L4" s="28"/>
      <c r="M4" s="58"/>
      <c r="N4" s="28"/>
      <c r="O4" s="106"/>
      <c r="P4" s="141">
        <f>K4+O4</f>
        <v>8</v>
      </c>
      <c r="Q4" s="28"/>
      <c r="R4" s="58"/>
      <c r="S4" s="28"/>
      <c r="T4" s="99" t="s">
        <v>27</v>
      </c>
      <c r="U4" s="99"/>
      <c r="V4" s="10" t="s">
        <v>28</v>
      </c>
      <c r="W4" s="10" t="s">
        <v>29</v>
      </c>
      <c r="X4" s="62" t="s">
        <v>30</v>
      </c>
      <c r="Y4" s="63"/>
      <c r="Z4" s="100" t="s">
        <v>31</v>
      </c>
      <c r="AA4" s="99"/>
      <c r="AB4" s="10" t="s">
        <v>28</v>
      </c>
      <c r="AC4" s="101" t="s">
        <v>29</v>
      </c>
      <c r="AD4" s="102"/>
      <c r="AE4" s="62" t="s">
        <v>30</v>
      </c>
      <c r="AF4" s="63"/>
      <c r="AG4" s="100" t="s">
        <v>32</v>
      </c>
      <c r="AH4" s="99"/>
      <c r="AI4" s="10" t="s">
        <v>28</v>
      </c>
      <c r="AJ4" s="10" t="s">
        <v>29</v>
      </c>
      <c r="AK4" s="64" t="s">
        <v>30</v>
      </c>
      <c r="AL4" s="28"/>
      <c r="AM4" s="58"/>
      <c r="AN4" s="65"/>
    </row>
    <row r="5" spans="1:47">
      <c r="A5" s="58"/>
      <c r="B5" s="56"/>
      <c r="C5" s="106"/>
      <c r="D5" s="106"/>
      <c r="E5" s="106"/>
      <c r="F5" s="106"/>
      <c r="G5" s="28"/>
      <c r="H5" s="58"/>
      <c r="I5" s="28"/>
      <c r="J5" s="99"/>
      <c r="K5" s="135"/>
      <c r="L5" s="28"/>
      <c r="M5" s="58"/>
      <c r="N5" s="28"/>
      <c r="O5" s="106"/>
      <c r="P5" s="141"/>
      <c r="Q5" s="28"/>
      <c r="R5" s="58"/>
      <c r="S5" s="21"/>
      <c r="T5" s="103" t="s">
        <v>33</v>
      </c>
      <c r="U5" s="104"/>
      <c r="V5" s="66"/>
      <c r="W5" s="67">
        <v>4</v>
      </c>
      <c r="X5" s="33">
        <f>V5+W5+$P$14</f>
        <v>10</v>
      </c>
      <c r="Y5" s="68"/>
      <c r="Z5" s="105" t="s">
        <v>34</v>
      </c>
      <c r="AA5" s="104"/>
      <c r="AB5" s="61"/>
      <c r="AC5" s="234"/>
      <c r="AD5" s="117"/>
      <c r="AE5" s="33">
        <f t="shared" ref="AE5:AE26" si="0">AC5+AB5+$P$4</f>
        <v>8</v>
      </c>
      <c r="AF5" s="69"/>
      <c r="AG5" s="105" t="s">
        <v>35</v>
      </c>
      <c r="AH5" s="104"/>
      <c r="AI5" s="61"/>
      <c r="AJ5" s="67"/>
      <c r="AK5" s="33">
        <f>AI5+AJ5+$P$8</f>
        <v>6</v>
      </c>
      <c r="AL5" s="28"/>
      <c r="AM5" s="58"/>
      <c r="AO5" s="145"/>
      <c r="AP5" s="146"/>
      <c r="AQ5" s="146"/>
      <c r="AR5" s="146"/>
      <c r="AS5" s="146"/>
      <c r="AT5" s="146"/>
      <c r="AU5" s="146"/>
    </row>
    <row r="6" spans="1:47">
      <c r="A6" s="58"/>
      <c r="B6" s="56"/>
      <c r="C6" s="106"/>
      <c r="D6" s="106"/>
      <c r="E6" s="106"/>
      <c r="F6" s="106"/>
      <c r="G6" s="28"/>
      <c r="H6" s="58"/>
      <c r="I6" s="28"/>
      <c r="J6" s="99" t="s">
        <v>36</v>
      </c>
      <c r="K6" s="134">
        <v>6</v>
      </c>
      <c r="L6" s="28"/>
      <c r="M6" s="58"/>
      <c r="N6" s="28"/>
      <c r="O6" s="106"/>
      <c r="P6" s="141">
        <f>K6+O6-Y32</f>
        <v>6</v>
      </c>
      <c r="Q6" s="28"/>
      <c r="R6" s="58"/>
      <c r="S6" s="28"/>
      <c r="T6" s="103" t="s">
        <v>37</v>
      </c>
      <c r="U6" s="104"/>
      <c r="V6" s="61"/>
      <c r="W6" s="61">
        <v>2</v>
      </c>
      <c r="X6" s="33">
        <f>V6+W6+$P$4</f>
        <v>10</v>
      </c>
      <c r="Y6" s="69"/>
      <c r="Z6" s="105" t="s">
        <v>38</v>
      </c>
      <c r="AA6" s="104"/>
      <c r="AB6" s="61"/>
      <c r="AC6" s="234"/>
      <c r="AD6" s="117"/>
      <c r="AE6" s="33">
        <f t="shared" si="0"/>
        <v>8</v>
      </c>
      <c r="AF6" s="69"/>
      <c r="AG6" s="107" t="s">
        <v>39</v>
      </c>
      <c r="AH6" s="108"/>
      <c r="AI6" s="61"/>
      <c r="AJ6" s="67">
        <v>2</v>
      </c>
      <c r="AK6" s="33">
        <f>AI6+AJ6+$P$8</f>
        <v>8</v>
      </c>
      <c r="AL6" s="28"/>
      <c r="AM6" s="58"/>
      <c r="AO6" s="146"/>
      <c r="AP6" s="146"/>
      <c r="AQ6" s="146"/>
      <c r="AR6" s="146"/>
      <c r="AS6" s="146"/>
      <c r="AT6" s="146"/>
      <c r="AU6" s="146"/>
    </row>
    <row r="7" spans="1:47">
      <c r="A7" s="58"/>
      <c r="B7" s="56"/>
      <c r="C7" s="106"/>
      <c r="D7" s="106"/>
      <c r="E7" s="106"/>
      <c r="F7" s="106"/>
      <c r="G7" s="28"/>
      <c r="H7" s="58"/>
      <c r="I7" s="28"/>
      <c r="J7" s="99"/>
      <c r="K7" s="135"/>
      <c r="L7" s="28"/>
      <c r="M7" s="58"/>
      <c r="N7" s="28"/>
      <c r="O7" s="106"/>
      <c r="P7" s="141"/>
      <c r="Q7" s="28"/>
      <c r="R7" s="58"/>
      <c r="S7" s="28"/>
      <c r="T7" s="103" t="s">
        <v>40</v>
      </c>
      <c r="U7" s="104"/>
      <c r="V7" s="61"/>
      <c r="W7" s="61"/>
      <c r="X7" s="33">
        <f>V7+W7+$P$4</f>
        <v>8</v>
      </c>
      <c r="Y7" s="69"/>
      <c r="Z7" s="105" t="s">
        <v>41</v>
      </c>
      <c r="AA7" s="104"/>
      <c r="AB7" s="61"/>
      <c r="AC7" s="234"/>
      <c r="AD7" s="117"/>
      <c r="AE7" s="33">
        <f t="shared" si="0"/>
        <v>8</v>
      </c>
      <c r="AF7" s="28"/>
      <c r="AG7" s="70" t="s">
        <v>42</v>
      </c>
      <c r="AH7" s="71" t="s">
        <v>43</v>
      </c>
      <c r="AI7" s="72"/>
      <c r="AJ7" s="61"/>
      <c r="AK7" s="33">
        <f>AI7+ROUNDDOWN(AJ7/2,0)+$P$8</f>
        <v>6</v>
      </c>
      <c r="AL7" s="28"/>
      <c r="AM7" s="59"/>
      <c r="AO7" s="146"/>
      <c r="AP7" s="146"/>
      <c r="AQ7" s="146"/>
      <c r="AR7" s="146"/>
      <c r="AS7" s="146"/>
      <c r="AT7" s="146"/>
      <c r="AU7" s="146"/>
    </row>
    <row r="8" spans="1:47">
      <c r="A8" s="58"/>
      <c r="B8" s="56"/>
      <c r="C8" s="106"/>
      <c r="D8" s="106"/>
      <c r="E8" s="106"/>
      <c r="F8" s="106"/>
      <c r="G8" s="28"/>
      <c r="H8" s="58"/>
      <c r="I8" s="28"/>
      <c r="J8" s="99" t="s">
        <v>44</v>
      </c>
      <c r="K8" s="134">
        <v>6</v>
      </c>
      <c r="L8" s="28"/>
      <c r="M8" s="58"/>
      <c r="N8" s="28"/>
      <c r="O8" s="106"/>
      <c r="P8" s="141">
        <f>K8+O8-Y32</f>
        <v>6</v>
      </c>
      <c r="Q8" s="28"/>
      <c r="R8" s="58"/>
      <c r="S8" s="28"/>
      <c r="T8" s="103" t="s">
        <v>45</v>
      </c>
      <c r="U8" s="104"/>
      <c r="V8" s="61"/>
      <c r="W8" s="67">
        <v>4</v>
      </c>
      <c r="X8" s="33">
        <f>V8+W8+$P$4</f>
        <v>12</v>
      </c>
      <c r="Y8" s="69"/>
      <c r="Z8" s="105" t="s">
        <v>46</v>
      </c>
      <c r="AA8" s="104"/>
      <c r="AB8" s="61"/>
      <c r="AC8" s="234"/>
      <c r="AD8" s="117"/>
      <c r="AE8" s="33">
        <f t="shared" si="0"/>
        <v>8</v>
      </c>
      <c r="AF8" s="69"/>
      <c r="AG8" s="109" t="s">
        <v>47</v>
      </c>
      <c r="AH8" s="110"/>
      <c r="AI8" s="61"/>
      <c r="AJ8" s="61"/>
      <c r="AK8" s="33">
        <f>AI8+AJ8+$P$8</f>
        <v>6</v>
      </c>
      <c r="AL8" s="28"/>
      <c r="AM8" s="58"/>
    </row>
    <row r="9" spans="1:47">
      <c r="A9" s="58"/>
      <c r="B9" s="56"/>
      <c r="C9" s="106"/>
      <c r="D9" s="106"/>
      <c r="E9" s="106"/>
      <c r="F9" s="106"/>
      <c r="G9" s="28"/>
      <c r="H9" s="58"/>
      <c r="I9" s="28"/>
      <c r="J9" s="99"/>
      <c r="K9" s="135"/>
      <c r="L9" s="28"/>
      <c r="M9" s="58"/>
      <c r="N9" s="28"/>
      <c r="O9" s="106"/>
      <c r="P9" s="141"/>
      <c r="Q9" s="28"/>
      <c r="R9" s="58"/>
      <c r="S9" s="28"/>
      <c r="T9" s="103" t="s">
        <v>48</v>
      </c>
      <c r="U9" s="104"/>
      <c r="V9" s="61"/>
      <c r="W9" s="61"/>
      <c r="X9" s="33">
        <f>V9+W9+$P$4</f>
        <v>8</v>
      </c>
      <c r="Y9" s="69"/>
      <c r="Z9" s="105" t="s">
        <v>49</v>
      </c>
      <c r="AA9" s="104"/>
      <c r="AB9" s="61"/>
      <c r="AC9" s="234"/>
      <c r="AD9" s="117"/>
      <c r="AE9" s="33">
        <f t="shared" si="0"/>
        <v>8</v>
      </c>
      <c r="AF9" s="69"/>
      <c r="AG9" s="111" t="s">
        <v>50</v>
      </c>
      <c r="AH9" s="112"/>
      <c r="AI9" s="17" t="s">
        <v>28</v>
      </c>
      <c r="AJ9" s="17" t="s">
        <v>29</v>
      </c>
      <c r="AK9" s="73" t="s">
        <v>30</v>
      </c>
      <c r="AL9" s="28"/>
      <c r="AM9" s="58"/>
      <c r="AN9" s="65"/>
    </row>
    <row r="10" spans="1:47">
      <c r="A10" s="58"/>
      <c r="B10" s="56"/>
      <c r="C10" s="106"/>
      <c r="D10" s="106"/>
      <c r="E10" s="106"/>
      <c r="F10" s="106"/>
      <c r="G10" s="28"/>
      <c r="H10" s="58"/>
      <c r="I10" s="28"/>
      <c r="J10" s="99" t="s">
        <v>51</v>
      </c>
      <c r="K10" s="134">
        <v>8</v>
      </c>
      <c r="L10" s="28"/>
      <c r="M10" s="58"/>
      <c r="N10" s="28"/>
      <c r="O10" s="106"/>
      <c r="P10" s="141">
        <f>K10+O10</f>
        <v>8</v>
      </c>
      <c r="Q10" s="28"/>
      <c r="R10" s="58"/>
      <c r="S10" s="28"/>
      <c r="T10" s="99" t="s">
        <v>52</v>
      </c>
      <c r="U10" s="99"/>
      <c r="V10" s="17" t="s">
        <v>28</v>
      </c>
      <c r="W10" s="17" t="s">
        <v>29</v>
      </c>
      <c r="X10" s="74" t="s">
        <v>30</v>
      </c>
      <c r="Y10" s="63"/>
      <c r="Z10" s="105" t="s">
        <v>53</v>
      </c>
      <c r="AA10" s="104"/>
      <c r="AB10" s="61"/>
      <c r="AC10" s="234"/>
      <c r="AD10" s="117"/>
      <c r="AE10" s="33">
        <f t="shared" si="0"/>
        <v>8</v>
      </c>
      <c r="AF10" s="69"/>
      <c r="AG10" s="105" t="s">
        <v>54</v>
      </c>
      <c r="AH10" s="104"/>
      <c r="AI10" s="61"/>
      <c r="AJ10" s="61"/>
      <c r="AK10" s="33">
        <f>AI10+AJ10+$P$6</f>
        <v>6</v>
      </c>
      <c r="AL10" s="28"/>
      <c r="AM10" s="58"/>
      <c r="AO10" s="145"/>
      <c r="AP10" s="146"/>
      <c r="AQ10" s="146"/>
      <c r="AR10" s="146"/>
      <c r="AS10" s="146"/>
      <c r="AT10" s="146"/>
      <c r="AU10" s="146"/>
    </row>
    <row r="11" spans="1:47">
      <c r="A11" s="58"/>
      <c r="B11" s="56"/>
      <c r="C11" s="106"/>
      <c r="D11" s="106"/>
      <c r="E11" s="106"/>
      <c r="F11" s="106"/>
      <c r="G11" s="28"/>
      <c r="H11" s="58"/>
      <c r="I11" s="28"/>
      <c r="J11" s="99"/>
      <c r="K11" s="135"/>
      <c r="L11" s="28"/>
      <c r="M11" s="58"/>
      <c r="N11" s="28"/>
      <c r="O11" s="106"/>
      <c r="P11" s="141"/>
      <c r="Q11" s="28"/>
      <c r="R11" s="58"/>
      <c r="S11" s="28"/>
      <c r="T11" s="103" t="s">
        <v>55</v>
      </c>
      <c r="U11" s="104"/>
      <c r="V11" s="61"/>
      <c r="W11" s="67"/>
      <c r="X11" s="33">
        <f t="shared" ref="X11:X16" si="1">V11+W11+$P$8</f>
        <v>6</v>
      </c>
      <c r="Y11" s="69"/>
      <c r="Z11" s="105" t="s">
        <v>56</v>
      </c>
      <c r="AA11" s="104"/>
      <c r="AB11" s="61"/>
      <c r="AC11" s="234"/>
      <c r="AD11" s="117"/>
      <c r="AE11" s="33">
        <f t="shared" si="0"/>
        <v>8</v>
      </c>
      <c r="AF11" s="69"/>
      <c r="AG11" s="113" t="s">
        <v>57</v>
      </c>
      <c r="AH11" s="114"/>
      <c r="AI11" s="61"/>
      <c r="AJ11" s="61"/>
      <c r="AK11" s="33">
        <f>AI11+ROUNDDOWN(AJ11/2,0)+$P$6</f>
        <v>6</v>
      </c>
      <c r="AL11" s="28"/>
      <c r="AM11" s="58"/>
      <c r="AO11" s="146"/>
      <c r="AP11" s="146"/>
      <c r="AQ11" s="146"/>
      <c r="AR11" s="146"/>
      <c r="AS11" s="146"/>
      <c r="AT11" s="146"/>
      <c r="AU11" s="146"/>
    </row>
    <row r="12" spans="1:47">
      <c r="A12" s="58"/>
      <c r="B12" s="56"/>
      <c r="C12" s="106"/>
      <c r="D12" s="106"/>
      <c r="E12" s="106"/>
      <c r="F12" s="106"/>
      <c r="G12" s="28"/>
      <c r="H12" s="58"/>
      <c r="I12" s="28"/>
      <c r="J12" s="99" t="s">
        <v>58</v>
      </c>
      <c r="K12" s="134">
        <v>6</v>
      </c>
      <c r="L12" s="28"/>
      <c r="M12" s="58"/>
      <c r="N12" s="28"/>
      <c r="O12" s="106"/>
      <c r="P12" s="141">
        <f>K12+O12</f>
        <v>6</v>
      </c>
      <c r="Q12" s="28"/>
      <c r="R12" s="58"/>
      <c r="S12" s="28"/>
      <c r="T12" s="103" t="s">
        <v>59</v>
      </c>
      <c r="U12" s="104"/>
      <c r="V12" s="61"/>
      <c r="W12" s="61"/>
      <c r="X12" s="33">
        <f t="shared" si="1"/>
        <v>6</v>
      </c>
      <c r="Y12" s="69"/>
      <c r="Z12" s="105" t="s">
        <v>60</v>
      </c>
      <c r="AA12" s="104"/>
      <c r="AB12" s="61"/>
      <c r="AC12" s="234">
        <v>4</v>
      </c>
      <c r="AD12" s="117"/>
      <c r="AE12" s="33">
        <f t="shared" si="0"/>
        <v>12</v>
      </c>
      <c r="AF12" s="69"/>
      <c r="AG12" s="105" t="s">
        <v>61</v>
      </c>
      <c r="AH12" s="104"/>
      <c r="AI12" s="61"/>
      <c r="AJ12" s="61">
        <v>3</v>
      </c>
      <c r="AK12" s="33">
        <f>AI12+AJ12+$P$6</f>
        <v>9</v>
      </c>
      <c r="AL12" s="28"/>
      <c r="AM12" s="58"/>
      <c r="AO12" s="146"/>
      <c r="AP12" s="146"/>
      <c r="AQ12" s="146"/>
      <c r="AR12" s="146"/>
      <c r="AS12" s="146"/>
      <c r="AT12" s="146"/>
      <c r="AU12" s="146"/>
    </row>
    <row r="13" spans="1:47">
      <c r="A13" s="58"/>
      <c r="B13" s="56"/>
      <c r="C13" s="106"/>
      <c r="D13" s="106"/>
      <c r="E13" s="106"/>
      <c r="F13" s="106"/>
      <c r="G13" s="28"/>
      <c r="H13" s="58"/>
      <c r="I13" s="28"/>
      <c r="J13" s="99"/>
      <c r="K13" s="135"/>
      <c r="L13" s="28"/>
      <c r="M13" s="58"/>
      <c r="N13" s="28"/>
      <c r="O13" s="106"/>
      <c r="P13" s="141"/>
      <c r="Q13" s="28"/>
      <c r="R13" s="58"/>
      <c r="S13" s="28"/>
      <c r="T13" s="103" t="s">
        <v>62</v>
      </c>
      <c r="U13" s="104"/>
      <c r="V13" s="61"/>
      <c r="W13" s="61"/>
      <c r="X13" s="33">
        <f t="shared" si="1"/>
        <v>6</v>
      </c>
      <c r="Y13" s="69"/>
      <c r="Z13" s="105" t="s">
        <v>63</v>
      </c>
      <c r="AA13" s="104"/>
      <c r="AB13" s="61"/>
      <c r="AC13" s="235">
        <v>2</v>
      </c>
      <c r="AD13" s="236"/>
      <c r="AE13" s="33">
        <f t="shared" si="0"/>
        <v>10</v>
      </c>
      <c r="AF13" s="69"/>
      <c r="AG13" s="113" t="s">
        <v>64</v>
      </c>
      <c r="AH13" s="114"/>
      <c r="AI13" s="61"/>
      <c r="AJ13" s="61"/>
      <c r="AK13" s="33">
        <f>AI13+ROUNDDOWN(AJ13/2,0)+$P$6</f>
        <v>6</v>
      </c>
      <c r="AL13" s="28"/>
      <c r="AM13" s="58"/>
      <c r="AO13" s="146"/>
      <c r="AP13" s="146"/>
      <c r="AQ13" s="146"/>
      <c r="AR13" s="146"/>
      <c r="AS13" s="146"/>
      <c r="AT13" s="146"/>
      <c r="AU13" s="146"/>
    </row>
    <row r="14" spans="1:47">
      <c r="A14" s="58"/>
      <c r="B14" s="56"/>
      <c r="C14" s="119"/>
      <c r="D14" s="119"/>
      <c r="E14" s="119"/>
      <c r="F14" s="119"/>
      <c r="G14" s="28"/>
      <c r="H14" s="58"/>
      <c r="I14" s="28"/>
      <c r="J14" s="99" t="s">
        <v>65</v>
      </c>
      <c r="K14" s="134">
        <v>6</v>
      </c>
      <c r="L14" s="28"/>
      <c r="M14" s="58"/>
      <c r="N14" s="28"/>
      <c r="O14" s="106"/>
      <c r="P14" s="141">
        <f>K14+O14</f>
        <v>6</v>
      </c>
      <c r="Q14" s="28"/>
      <c r="R14" s="58"/>
      <c r="S14" s="28"/>
      <c r="T14" s="103" t="s">
        <v>66</v>
      </c>
      <c r="U14" s="104"/>
      <c r="V14" s="61"/>
      <c r="W14" s="61"/>
      <c r="X14" s="33">
        <f>V14+W14+$P$14</f>
        <v>6</v>
      </c>
      <c r="Y14" s="69"/>
      <c r="Z14" s="105" t="s">
        <v>67</v>
      </c>
      <c r="AA14" s="104"/>
      <c r="AB14" s="61"/>
      <c r="AC14" s="234"/>
      <c r="AD14" s="117"/>
      <c r="AE14" s="33">
        <f t="shared" si="0"/>
        <v>8</v>
      </c>
      <c r="AF14" s="69"/>
      <c r="AG14" s="105" t="s">
        <v>68</v>
      </c>
      <c r="AH14" s="104"/>
      <c r="AI14" s="61"/>
      <c r="AJ14" s="61"/>
      <c r="AK14" s="33">
        <f>AI14+AJ14+$P$6</f>
        <v>6</v>
      </c>
      <c r="AL14" s="28"/>
      <c r="AM14" s="58"/>
    </row>
    <row r="15" spans="1:47">
      <c r="A15" s="58"/>
      <c r="B15" s="28"/>
      <c r="C15" s="99" t="s">
        <v>69</v>
      </c>
      <c r="D15" s="99"/>
      <c r="E15" s="99"/>
      <c r="F15" s="99"/>
      <c r="G15" s="28"/>
      <c r="H15" s="58"/>
      <c r="I15" s="28"/>
      <c r="J15" s="99"/>
      <c r="K15" s="135"/>
      <c r="L15" s="28"/>
      <c r="M15" s="58"/>
      <c r="N15" s="28"/>
      <c r="O15" s="106"/>
      <c r="P15" s="141"/>
      <c r="Q15" s="28"/>
      <c r="R15" s="58"/>
      <c r="S15" s="28"/>
      <c r="T15" s="103" t="s">
        <v>70</v>
      </c>
      <c r="U15" s="104"/>
      <c r="V15" s="61"/>
      <c r="W15" s="61">
        <v>4</v>
      </c>
      <c r="X15" s="33">
        <f>V15+W15+$P$14</f>
        <v>10</v>
      </c>
      <c r="Y15" s="69"/>
      <c r="Z15" s="105" t="s">
        <v>71</v>
      </c>
      <c r="AA15" s="104"/>
      <c r="AB15" s="61"/>
      <c r="AC15" s="234">
        <v>2</v>
      </c>
      <c r="AD15" s="117"/>
      <c r="AE15" s="33">
        <f t="shared" si="0"/>
        <v>10</v>
      </c>
      <c r="AF15" s="69"/>
      <c r="AG15" s="100" t="s">
        <v>72</v>
      </c>
      <c r="AH15" s="99"/>
      <c r="AI15" s="17" t="s">
        <v>28</v>
      </c>
      <c r="AJ15" s="17" t="s">
        <v>29</v>
      </c>
      <c r="AK15" s="73" t="s">
        <v>30</v>
      </c>
      <c r="AL15" s="28"/>
      <c r="AM15" s="58"/>
    </row>
    <row r="16" spans="1:47">
      <c r="A16" s="58"/>
      <c r="B16" s="28"/>
      <c r="C16" s="75" t="s">
        <v>73</v>
      </c>
      <c r="D16" s="229" t="s">
        <v>367</v>
      </c>
      <c r="E16" s="115"/>
      <c r="F16" s="116"/>
      <c r="G16" s="28"/>
      <c r="H16" s="58"/>
      <c r="I16" s="28"/>
      <c r="J16" s="99" t="s">
        <v>74</v>
      </c>
      <c r="K16" s="134">
        <v>5</v>
      </c>
      <c r="L16" s="21"/>
      <c r="M16" s="58"/>
      <c r="N16" s="28"/>
      <c r="O16" s="106"/>
      <c r="P16" s="141">
        <f>K16+O16</f>
        <v>5</v>
      </c>
      <c r="Q16" s="21"/>
      <c r="R16" s="58"/>
      <c r="S16" s="28"/>
      <c r="T16" s="103" t="s">
        <v>75</v>
      </c>
      <c r="U16" s="104"/>
      <c r="V16" s="61"/>
      <c r="W16" s="67">
        <v>2</v>
      </c>
      <c r="X16" s="33">
        <f t="shared" si="1"/>
        <v>8</v>
      </c>
      <c r="Y16" s="69"/>
      <c r="Z16" s="105" t="s">
        <v>76</v>
      </c>
      <c r="AA16" s="104"/>
      <c r="AB16" s="61"/>
      <c r="AC16" s="234">
        <v>3</v>
      </c>
      <c r="AD16" s="117"/>
      <c r="AE16" s="33">
        <f t="shared" si="0"/>
        <v>11</v>
      </c>
      <c r="AF16" s="69"/>
      <c r="AG16" s="105" t="s">
        <v>77</v>
      </c>
      <c r="AH16" s="104"/>
      <c r="AI16" s="61"/>
      <c r="AJ16" s="61"/>
      <c r="AK16" s="33">
        <f>AI16+AJ16+$P$12</f>
        <v>6</v>
      </c>
      <c r="AL16" s="28"/>
      <c r="AM16" s="58"/>
      <c r="AO16" s="145"/>
      <c r="AP16" s="146"/>
      <c r="AQ16" s="146"/>
      <c r="AR16" s="146"/>
      <c r="AS16" s="146"/>
      <c r="AT16" s="146"/>
      <c r="AU16" s="146"/>
    </row>
    <row r="17" spans="1:47">
      <c r="A17" s="58"/>
      <c r="B17" s="28"/>
      <c r="C17" s="45" t="s">
        <v>78</v>
      </c>
      <c r="D17" s="230" t="s">
        <v>368</v>
      </c>
      <c r="E17" s="106"/>
      <c r="F17" s="106"/>
      <c r="G17" s="28"/>
      <c r="H17" s="58"/>
      <c r="I17" s="28"/>
      <c r="J17" s="99"/>
      <c r="K17" s="135"/>
      <c r="L17" s="21"/>
      <c r="M17" s="58"/>
      <c r="N17" s="28"/>
      <c r="O17" s="106"/>
      <c r="P17" s="141"/>
      <c r="Q17" s="21"/>
      <c r="R17" s="58"/>
      <c r="S17" s="28"/>
      <c r="T17" s="99" t="s">
        <v>79</v>
      </c>
      <c r="U17" s="99"/>
      <c r="V17" s="17" t="s">
        <v>28</v>
      </c>
      <c r="W17" s="17" t="s">
        <v>29</v>
      </c>
      <c r="X17" s="74" t="s">
        <v>30</v>
      </c>
      <c r="Y17" s="63"/>
      <c r="Z17" s="105" t="s">
        <v>80</v>
      </c>
      <c r="AA17" s="104"/>
      <c r="AB17" s="61"/>
      <c r="AC17" s="234"/>
      <c r="AD17" s="117"/>
      <c r="AE17" s="33">
        <f t="shared" si="0"/>
        <v>8</v>
      </c>
      <c r="AF17" s="69"/>
      <c r="AG17" s="105" t="s">
        <v>81</v>
      </c>
      <c r="AH17" s="104"/>
      <c r="AI17" s="61"/>
      <c r="AJ17" s="67"/>
      <c r="AK17" s="33">
        <f>AI17+AJ17+$P$22</f>
        <v>5</v>
      </c>
      <c r="AL17" s="28"/>
      <c r="AM17" s="58"/>
      <c r="AO17" s="146"/>
      <c r="AP17" s="146"/>
      <c r="AQ17" s="146"/>
      <c r="AR17" s="146"/>
      <c r="AS17" s="146"/>
      <c r="AT17" s="146"/>
      <c r="AU17" s="146"/>
    </row>
    <row r="18" spans="1:47">
      <c r="A18" s="58"/>
      <c r="B18" s="28"/>
      <c r="C18" s="45" t="s">
        <v>82</v>
      </c>
      <c r="D18" s="230" t="s">
        <v>368</v>
      </c>
      <c r="E18" s="106"/>
      <c r="F18" s="106"/>
      <c r="G18" s="28"/>
      <c r="H18" s="58"/>
      <c r="I18" s="28"/>
      <c r="J18" s="99" t="s">
        <v>83</v>
      </c>
      <c r="K18" s="134">
        <v>4</v>
      </c>
      <c r="L18" s="28"/>
      <c r="M18" s="58"/>
      <c r="N18" s="28"/>
      <c r="O18" s="106"/>
      <c r="P18" s="141">
        <f>K18+O18-Y32</f>
        <v>4</v>
      </c>
      <c r="Q18" s="28"/>
      <c r="R18" s="58"/>
      <c r="S18" s="28"/>
      <c r="T18" s="103" t="s">
        <v>84</v>
      </c>
      <c r="U18" s="104"/>
      <c r="V18" s="61"/>
      <c r="W18" s="61">
        <v>2</v>
      </c>
      <c r="X18" s="33">
        <f>V18+W18+$P$6</f>
        <v>8</v>
      </c>
      <c r="Y18" s="69"/>
      <c r="Z18" s="105" t="s">
        <v>85</v>
      </c>
      <c r="AA18" s="104"/>
      <c r="AB18" s="61"/>
      <c r="AC18" s="234"/>
      <c r="AD18" s="117"/>
      <c r="AE18" s="33">
        <f t="shared" si="0"/>
        <v>8</v>
      </c>
      <c r="AF18" s="69"/>
      <c r="AG18" s="105" t="s">
        <v>86</v>
      </c>
      <c r="AH18" s="104"/>
      <c r="AI18" s="61"/>
      <c r="AJ18" s="67">
        <v>7</v>
      </c>
      <c r="AK18" s="33">
        <f>AI18+AJ18+$P$22</f>
        <v>12</v>
      </c>
      <c r="AL18" s="28"/>
      <c r="AM18" s="58"/>
      <c r="AO18" s="146"/>
      <c r="AP18" s="146"/>
      <c r="AQ18" s="146"/>
      <c r="AR18" s="146"/>
      <c r="AS18" s="146"/>
      <c r="AT18" s="146"/>
      <c r="AU18" s="146"/>
    </row>
    <row r="19" spans="1:47">
      <c r="A19" s="58"/>
      <c r="B19" s="28"/>
      <c r="C19" s="45" t="s">
        <v>87</v>
      </c>
      <c r="D19" s="72">
        <v>31</v>
      </c>
      <c r="E19" s="76" t="s">
        <v>88</v>
      </c>
      <c r="F19" s="231" t="s">
        <v>369</v>
      </c>
      <c r="G19" s="28"/>
      <c r="H19" s="58"/>
      <c r="I19" s="28"/>
      <c r="J19" s="99"/>
      <c r="K19" s="135"/>
      <c r="L19" s="28"/>
      <c r="M19" s="58"/>
      <c r="N19" s="28"/>
      <c r="O19" s="106"/>
      <c r="P19" s="141"/>
      <c r="Q19" s="28"/>
      <c r="R19" s="58"/>
      <c r="S19" s="28"/>
      <c r="T19" s="118" t="s">
        <v>89</v>
      </c>
      <c r="U19" s="114"/>
      <c r="V19" s="61"/>
      <c r="W19" s="61"/>
      <c r="X19" s="33">
        <f>V19+ROUNDDOWN(W19/2,0)+$P$6</f>
        <v>6</v>
      </c>
      <c r="Y19" s="69"/>
      <c r="Z19" s="107" t="s">
        <v>90</v>
      </c>
      <c r="AA19" s="108"/>
      <c r="AB19" s="61"/>
      <c r="AC19" s="234"/>
      <c r="AD19" s="117"/>
      <c r="AE19" s="33">
        <f t="shared" si="0"/>
        <v>8</v>
      </c>
      <c r="AF19" s="69"/>
      <c r="AG19" s="105" t="s">
        <v>91</v>
      </c>
      <c r="AH19" s="104"/>
      <c r="AI19" s="61"/>
      <c r="AJ19" s="61"/>
      <c r="AK19" s="33">
        <f t="shared" ref="AK19:AK24" si="2">AI19+AJ19+$P$12</f>
        <v>6</v>
      </c>
      <c r="AL19" s="28"/>
      <c r="AM19" s="58"/>
      <c r="AO19" s="146"/>
      <c r="AP19" s="146"/>
      <c r="AQ19" s="146"/>
      <c r="AR19" s="146"/>
      <c r="AS19" s="146"/>
      <c r="AT19" s="146"/>
      <c r="AU19" s="146"/>
    </row>
    <row r="20" spans="1:47">
      <c r="A20" s="58"/>
      <c r="B20" s="28"/>
      <c r="C20" s="45" t="s">
        <v>92</v>
      </c>
      <c r="D20" s="117"/>
      <c r="E20" s="119"/>
      <c r="F20" s="106"/>
      <c r="G20" s="28"/>
      <c r="H20" s="58"/>
      <c r="I20" s="28"/>
      <c r="J20" s="99" t="s">
        <v>93</v>
      </c>
      <c r="K20" s="134">
        <v>5</v>
      </c>
      <c r="L20" s="28"/>
      <c r="M20" s="58"/>
      <c r="N20" s="28"/>
      <c r="O20" s="106"/>
      <c r="P20" s="141">
        <f>K20+O20</f>
        <v>5</v>
      </c>
      <c r="Q20" s="28"/>
      <c r="R20" s="58"/>
      <c r="S20" s="28"/>
      <c r="T20" s="103" t="s">
        <v>94</v>
      </c>
      <c r="U20" s="104"/>
      <c r="V20" s="61"/>
      <c r="W20" s="61"/>
      <c r="X20" s="33">
        <f>V20+W20+$P$6</f>
        <v>6</v>
      </c>
      <c r="Y20" s="69"/>
      <c r="Z20" s="77" t="s">
        <v>95</v>
      </c>
      <c r="AA20" s="78" t="s">
        <v>96</v>
      </c>
      <c r="AB20" s="61"/>
      <c r="AC20" s="235">
        <v>2</v>
      </c>
      <c r="AD20" s="236"/>
      <c r="AE20" s="33">
        <f t="shared" si="0"/>
        <v>10</v>
      </c>
      <c r="AF20" s="69"/>
      <c r="AG20" s="105" t="s">
        <v>97</v>
      </c>
      <c r="AH20" s="104"/>
      <c r="AI20" s="61"/>
      <c r="AJ20" s="67"/>
      <c r="AK20" s="33">
        <f t="shared" si="2"/>
        <v>6</v>
      </c>
      <c r="AL20" s="28"/>
      <c r="AM20" s="58"/>
    </row>
    <row r="21" spans="1:47">
      <c r="A21" s="58"/>
      <c r="B21" s="28"/>
      <c r="C21" s="45" t="s">
        <v>98</v>
      </c>
      <c r="D21" s="79">
        <v>4</v>
      </c>
      <c r="E21" s="80" t="s">
        <v>99</v>
      </c>
      <c r="F21" s="81"/>
      <c r="G21" s="28"/>
      <c r="H21" s="58"/>
      <c r="I21" s="28"/>
      <c r="J21" s="99"/>
      <c r="K21" s="135"/>
      <c r="L21" s="28"/>
      <c r="M21" s="58"/>
      <c r="N21" s="28"/>
      <c r="O21" s="106"/>
      <c r="P21" s="141"/>
      <c r="Q21" s="28"/>
      <c r="R21" s="58"/>
      <c r="S21" s="28"/>
      <c r="T21" s="103" t="s">
        <v>100</v>
      </c>
      <c r="U21" s="104"/>
      <c r="V21" s="61"/>
      <c r="W21" s="61"/>
      <c r="X21" s="33">
        <f>V21+W21+$P$6</f>
        <v>6</v>
      </c>
      <c r="Y21" s="69"/>
      <c r="Z21" s="77" t="s">
        <v>95</v>
      </c>
      <c r="AA21" s="78" t="s">
        <v>101</v>
      </c>
      <c r="AB21" s="61">
        <v>4</v>
      </c>
      <c r="AC21" s="234"/>
      <c r="AD21" s="117"/>
      <c r="AE21" s="33">
        <f t="shared" si="0"/>
        <v>12</v>
      </c>
      <c r="AF21" s="69"/>
      <c r="AG21" s="105" t="s">
        <v>102</v>
      </c>
      <c r="AH21" s="104"/>
      <c r="AI21" s="61"/>
      <c r="AJ21" s="61"/>
      <c r="AK21" s="33">
        <f t="shared" si="2"/>
        <v>6</v>
      </c>
      <c r="AL21" s="28"/>
      <c r="AM21" s="58"/>
      <c r="AN21" s="65"/>
    </row>
    <row r="22" spans="1:47">
      <c r="A22" s="58"/>
      <c r="B22" s="28"/>
      <c r="C22" s="82" t="s">
        <v>103</v>
      </c>
      <c r="D22" s="233" t="s">
        <v>371</v>
      </c>
      <c r="E22" s="120"/>
      <c r="F22" s="121"/>
      <c r="G22" s="28"/>
      <c r="H22" s="58"/>
      <c r="I22" s="28"/>
      <c r="J22" s="99" t="s">
        <v>104</v>
      </c>
      <c r="K22" s="134">
        <v>8</v>
      </c>
      <c r="L22" s="28"/>
      <c r="M22" s="58"/>
      <c r="N22" s="28"/>
      <c r="O22" s="61"/>
      <c r="P22" s="141">
        <f>K22+O22+O23</f>
        <v>5</v>
      </c>
      <c r="Q22" s="28"/>
      <c r="R22" s="58"/>
      <c r="S22" s="28"/>
      <c r="T22" s="99" t="s">
        <v>105</v>
      </c>
      <c r="U22" s="99"/>
      <c r="V22" s="17" t="s">
        <v>28</v>
      </c>
      <c r="W22" s="17" t="s">
        <v>29</v>
      </c>
      <c r="X22" s="74" t="s">
        <v>30</v>
      </c>
      <c r="Y22" s="63"/>
      <c r="Z22" s="77" t="s">
        <v>106</v>
      </c>
      <c r="AA22" s="78"/>
      <c r="AB22" s="61"/>
      <c r="AC22" s="234"/>
      <c r="AD22" s="117"/>
      <c r="AE22" s="33">
        <f t="shared" si="0"/>
        <v>8</v>
      </c>
      <c r="AF22" s="69"/>
      <c r="AG22" s="105" t="s">
        <v>107</v>
      </c>
      <c r="AH22" s="104"/>
      <c r="AI22" s="61"/>
      <c r="AJ22" s="61">
        <v>4</v>
      </c>
      <c r="AK22" s="33">
        <f t="shared" si="2"/>
        <v>10</v>
      </c>
      <c r="AL22" s="28"/>
      <c r="AM22" s="58"/>
      <c r="AO22" s="145"/>
      <c r="AP22" s="146"/>
      <c r="AQ22" s="146"/>
      <c r="AR22" s="146"/>
      <c r="AS22" s="146"/>
      <c r="AT22" s="146"/>
      <c r="AU22" s="146"/>
    </row>
    <row r="23" spans="1:47">
      <c r="A23" s="58"/>
      <c r="B23" s="28"/>
      <c r="C23" s="28"/>
      <c r="D23" s="28"/>
      <c r="E23" s="28"/>
      <c r="F23" s="28"/>
      <c r="G23" s="28"/>
      <c r="H23" s="58"/>
      <c r="I23" s="28"/>
      <c r="J23" s="99"/>
      <c r="K23" s="135"/>
      <c r="L23" s="28"/>
      <c r="M23" s="58"/>
      <c r="N23" s="28"/>
      <c r="O23" s="33">
        <f>INT(MOD(K32,100)/10)-K22</f>
        <v>-3</v>
      </c>
      <c r="P23" s="141"/>
      <c r="Q23" s="28"/>
      <c r="R23" s="58"/>
      <c r="S23" s="28"/>
      <c r="T23" s="103" t="s">
        <v>108</v>
      </c>
      <c r="U23" s="104"/>
      <c r="V23" s="61"/>
      <c r="W23" s="61"/>
      <c r="X23" s="33">
        <f>V23+W23+$P$12</f>
        <v>6</v>
      </c>
      <c r="Y23" s="69"/>
      <c r="Z23" s="107" t="s">
        <v>109</v>
      </c>
      <c r="AA23" s="108"/>
      <c r="AB23" s="61"/>
      <c r="AC23" s="234"/>
      <c r="AD23" s="117"/>
      <c r="AE23" s="33">
        <f t="shared" si="0"/>
        <v>8</v>
      </c>
      <c r="AF23" s="69"/>
      <c r="AG23" s="105" t="s">
        <v>110</v>
      </c>
      <c r="AH23" s="104"/>
      <c r="AI23" s="61"/>
      <c r="AJ23" s="61">
        <v>2</v>
      </c>
      <c r="AK23" s="33">
        <f t="shared" si="2"/>
        <v>8</v>
      </c>
      <c r="AL23" s="28"/>
      <c r="AM23" s="58"/>
      <c r="AO23" s="146"/>
      <c r="AP23" s="146"/>
      <c r="AQ23" s="146"/>
      <c r="AR23" s="146"/>
      <c r="AS23" s="146"/>
      <c r="AT23" s="146"/>
      <c r="AU23" s="146"/>
    </row>
    <row r="24" spans="1:47">
      <c r="A24" s="58"/>
      <c r="B24" s="58"/>
      <c r="C24" s="58"/>
      <c r="D24" s="58"/>
      <c r="E24" s="58"/>
      <c r="F24" s="58"/>
      <c r="G24" s="58"/>
      <c r="H24" s="58"/>
      <c r="I24" s="28"/>
      <c r="J24" s="83" t="s">
        <v>111</v>
      </c>
      <c r="K24" s="84">
        <v>62</v>
      </c>
      <c r="L24" s="85"/>
      <c r="M24" s="86"/>
      <c r="N24" s="85"/>
      <c r="O24" s="139" t="s">
        <v>112</v>
      </c>
      <c r="P24" s="142"/>
      <c r="Q24" s="28"/>
      <c r="R24" s="58"/>
      <c r="S24" s="28"/>
      <c r="T24" s="122" t="s">
        <v>113</v>
      </c>
      <c r="U24" s="108"/>
      <c r="V24" s="61"/>
      <c r="W24" s="61"/>
      <c r="X24" s="33">
        <f>V24+W24+$P$10</f>
        <v>8</v>
      </c>
      <c r="Y24" s="69"/>
      <c r="Z24" s="77" t="s">
        <v>95</v>
      </c>
      <c r="AA24" s="78" t="s">
        <v>114</v>
      </c>
      <c r="AB24" s="61"/>
      <c r="AC24" s="235"/>
      <c r="AD24" s="236"/>
      <c r="AE24" s="33">
        <f t="shared" si="0"/>
        <v>8</v>
      </c>
      <c r="AF24" s="69"/>
      <c r="AG24" s="105" t="s">
        <v>115</v>
      </c>
      <c r="AH24" s="104"/>
      <c r="AI24" s="61"/>
      <c r="AJ24" s="61"/>
      <c r="AK24" s="33">
        <f t="shared" si="2"/>
        <v>6</v>
      </c>
      <c r="AL24" s="28"/>
      <c r="AM24" s="58"/>
      <c r="AO24" s="146"/>
      <c r="AP24" s="146"/>
      <c r="AQ24" s="146"/>
      <c r="AR24" s="146"/>
      <c r="AS24" s="146"/>
      <c r="AT24" s="146"/>
      <c r="AU24" s="146"/>
    </row>
    <row r="25" spans="1:47">
      <c r="A25" s="58"/>
      <c r="B25" s="3" t="s">
        <v>116</v>
      </c>
      <c r="C25" s="5"/>
      <c r="D25" s="5"/>
      <c r="E25" s="58"/>
      <c r="F25" s="58"/>
      <c r="G25" s="58"/>
      <c r="H25" s="58"/>
      <c r="I25" s="28"/>
      <c r="J25" s="83" t="s">
        <v>117</v>
      </c>
      <c r="K25" s="87">
        <f>K24-SUM(K4:K22)</f>
        <v>0</v>
      </c>
      <c r="L25" s="85"/>
      <c r="M25" s="86"/>
      <c r="N25" s="85"/>
      <c r="O25" s="140"/>
      <c r="P25" s="143"/>
      <c r="Q25" s="28"/>
      <c r="R25" s="58"/>
      <c r="S25" s="69"/>
      <c r="T25" s="78" t="s">
        <v>95</v>
      </c>
      <c r="U25" s="78"/>
      <c r="V25" s="61"/>
      <c r="W25" s="61"/>
      <c r="X25" s="33">
        <f>V25+W25+$P$10</f>
        <v>8</v>
      </c>
      <c r="Y25" s="69"/>
      <c r="Z25" s="77" t="s">
        <v>95</v>
      </c>
      <c r="AA25" s="78"/>
      <c r="AB25" s="61"/>
      <c r="AC25" s="234"/>
      <c r="AD25" s="117"/>
      <c r="AE25" s="33">
        <f t="shared" si="0"/>
        <v>8</v>
      </c>
      <c r="AF25" s="69"/>
      <c r="AG25" s="100" t="s">
        <v>118</v>
      </c>
      <c r="AH25" s="99"/>
      <c r="AI25" s="17" t="s">
        <v>28</v>
      </c>
      <c r="AJ25" s="17" t="s">
        <v>29</v>
      </c>
      <c r="AK25" s="73" t="s">
        <v>30</v>
      </c>
      <c r="AL25" s="28"/>
      <c r="AM25" s="58"/>
      <c r="AO25" s="146"/>
      <c r="AP25" s="146"/>
      <c r="AQ25" s="146"/>
      <c r="AR25" s="146"/>
      <c r="AS25" s="146"/>
      <c r="AT25" s="146"/>
      <c r="AU25" s="146"/>
    </row>
    <row r="26" spans="1:47">
      <c r="A26" s="58"/>
      <c r="B26" s="28"/>
      <c r="C26" s="28"/>
      <c r="D26" s="28"/>
      <c r="E26" s="28"/>
      <c r="F26" s="28"/>
      <c r="G26" s="28"/>
      <c r="H26" s="58"/>
      <c r="I26" s="28"/>
      <c r="J26" s="28"/>
      <c r="K26" s="28"/>
      <c r="L26" s="28"/>
      <c r="M26" s="58"/>
      <c r="N26" s="28"/>
      <c r="O26" s="56"/>
      <c r="P26" s="28"/>
      <c r="Q26" s="28"/>
      <c r="R26" s="58"/>
      <c r="S26" s="69"/>
      <c r="T26" s="78" t="s">
        <v>106</v>
      </c>
      <c r="U26" s="78"/>
      <c r="V26" s="61"/>
      <c r="W26" s="61"/>
      <c r="X26" s="33">
        <f>V26+W26+$P$10</f>
        <v>8</v>
      </c>
      <c r="Y26" s="69"/>
      <c r="Z26" s="77" t="s">
        <v>106</v>
      </c>
      <c r="AA26" s="78"/>
      <c r="AB26" s="61"/>
      <c r="AC26" s="234"/>
      <c r="AD26" s="117"/>
      <c r="AE26" s="33">
        <f t="shared" si="0"/>
        <v>8</v>
      </c>
      <c r="AF26" s="69"/>
      <c r="AG26" s="105" t="s">
        <v>119</v>
      </c>
      <c r="AH26" s="104"/>
      <c r="AI26" s="61"/>
      <c r="AJ26" s="61"/>
      <c r="AK26" s="33">
        <f>AI26+AJ26+$P$10</f>
        <v>8</v>
      </c>
      <c r="AL26" s="28"/>
      <c r="AM26" s="58"/>
    </row>
    <row r="27" spans="1:47">
      <c r="A27" s="58"/>
      <c r="B27" s="28"/>
      <c r="C27" s="99" t="s">
        <v>120</v>
      </c>
      <c r="D27" s="232" t="s">
        <v>403</v>
      </c>
      <c r="E27" s="88" t="s">
        <v>98</v>
      </c>
      <c r="F27" s="72">
        <v>3</v>
      </c>
      <c r="G27" s="28"/>
      <c r="H27" s="58"/>
      <c r="I27" s="58"/>
      <c r="J27" s="58"/>
      <c r="K27" s="58"/>
      <c r="L27" s="58"/>
      <c r="M27" s="58"/>
      <c r="N27" s="58"/>
      <c r="O27" s="59"/>
      <c r="P27" s="58"/>
      <c r="Q27" s="58"/>
      <c r="R27" s="5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69"/>
      <c r="AG27" s="109" t="s">
        <v>121</v>
      </c>
      <c r="AH27" s="110"/>
      <c r="AI27" s="61"/>
      <c r="AJ27" s="61">
        <v>4</v>
      </c>
      <c r="AK27" s="33">
        <f t="shared" ref="AK27:AK40" si="3">AI27+AJ27+$P$10</f>
        <v>12</v>
      </c>
      <c r="AL27" s="28"/>
      <c r="AM27" s="58"/>
    </row>
    <row r="28" spans="1:47">
      <c r="A28" s="58"/>
      <c r="B28" s="28"/>
      <c r="C28" s="99"/>
      <c r="D28" s="130"/>
      <c r="E28" s="89" t="s">
        <v>122</v>
      </c>
      <c r="F28" s="237" t="s">
        <v>380</v>
      </c>
      <c r="G28" s="28"/>
      <c r="H28" s="58"/>
      <c r="I28" s="3" t="s">
        <v>123</v>
      </c>
      <c r="J28" s="5"/>
      <c r="K28" s="5"/>
      <c r="L28" s="90"/>
      <c r="M28" s="58"/>
      <c r="N28" s="58"/>
      <c r="O28" s="59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28"/>
      <c r="AG28" s="103" t="s">
        <v>124</v>
      </c>
      <c r="AH28" s="104"/>
      <c r="AI28" s="61"/>
      <c r="AJ28" s="61">
        <v>5</v>
      </c>
      <c r="AK28" s="33">
        <f t="shared" si="3"/>
        <v>13</v>
      </c>
      <c r="AL28" s="28"/>
      <c r="AM28" s="58"/>
    </row>
    <row r="29" spans="1:47">
      <c r="A29" s="58"/>
      <c r="B29" s="28"/>
      <c r="C29" s="99" t="s">
        <v>125</v>
      </c>
      <c r="D29" s="232" t="s">
        <v>370</v>
      </c>
      <c r="E29" s="88" t="s">
        <v>98</v>
      </c>
      <c r="F29" s="72">
        <v>1</v>
      </c>
      <c r="G29" s="28"/>
      <c r="H29" s="58"/>
      <c r="I29" s="28"/>
      <c r="J29" s="91" t="s">
        <v>126</v>
      </c>
      <c r="K29" s="28"/>
      <c r="L29" s="28"/>
      <c r="M29" s="28"/>
      <c r="N29" s="28"/>
      <c r="O29" s="56"/>
      <c r="P29" s="28"/>
      <c r="Q29" s="28"/>
      <c r="R29" s="58"/>
      <c r="S29" s="3" t="s">
        <v>127</v>
      </c>
      <c r="T29" s="5"/>
      <c r="U29" s="5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28"/>
      <c r="AG29" s="118" t="s">
        <v>128</v>
      </c>
      <c r="AH29" s="114"/>
      <c r="AI29" s="61"/>
      <c r="AJ29" s="61"/>
      <c r="AK29" s="33">
        <f>AI29+ROUNDDOWN(AJ29/2,0)+$P$10</f>
        <v>8</v>
      </c>
      <c r="AL29" s="28"/>
      <c r="AM29" s="58"/>
    </row>
    <row r="30" spans="1:47">
      <c r="A30" s="58"/>
      <c r="B30" s="28"/>
      <c r="C30" s="99"/>
      <c r="D30" s="130"/>
      <c r="E30" s="89" t="s">
        <v>122</v>
      </c>
      <c r="F30" s="237" t="s">
        <v>381</v>
      </c>
      <c r="G30" s="28"/>
      <c r="H30" s="58"/>
      <c r="I30" s="28"/>
      <c r="J30" s="131" t="s">
        <v>129</v>
      </c>
      <c r="K30" s="158"/>
      <c r="L30" s="159"/>
      <c r="M30" s="160"/>
      <c r="N30" s="136" t="s">
        <v>130</v>
      </c>
      <c r="O30" s="177">
        <f>IF(ISBLANK(K20),0,10+ROUNDUP((K20+K14)/2,0)*5)</f>
        <v>40</v>
      </c>
      <c r="P30" s="177"/>
      <c r="Q30" s="28"/>
      <c r="R30" s="5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58"/>
      <c r="AF30" s="28"/>
      <c r="AG30" s="118" t="s">
        <v>131</v>
      </c>
      <c r="AH30" s="114"/>
      <c r="AI30" s="61"/>
      <c r="AJ30" s="61">
        <v>4</v>
      </c>
      <c r="AK30" s="33">
        <f>AI30+ROUNDDOWN(AJ30/2,0)+$P$10</f>
        <v>10</v>
      </c>
      <c r="AL30" s="28"/>
      <c r="AM30" s="58"/>
    </row>
    <row r="31" spans="1:47">
      <c r="A31" s="58"/>
      <c r="B31" s="28"/>
      <c r="C31" s="99" t="s">
        <v>132</v>
      </c>
      <c r="D31" s="130"/>
      <c r="E31" s="88" t="s">
        <v>98</v>
      </c>
      <c r="F31" s="72"/>
      <c r="G31" s="28"/>
      <c r="H31" s="58"/>
      <c r="I31" s="28"/>
      <c r="J31" s="132"/>
      <c r="K31" s="161"/>
      <c r="L31" s="162"/>
      <c r="M31" s="163"/>
      <c r="N31" s="137"/>
      <c r="O31" s="141"/>
      <c r="P31" s="141"/>
      <c r="Q31" s="28"/>
      <c r="R31" s="58"/>
      <c r="S31" s="28"/>
      <c r="T31" s="123" t="s">
        <v>133</v>
      </c>
      <c r="U31" s="123"/>
      <c r="V31" s="123"/>
      <c r="W31" s="123" t="s">
        <v>134</v>
      </c>
      <c r="X31" s="123"/>
      <c r="Y31" s="124" t="s">
        <v>135</v>
      </c>
      <c r="Z31" s="124"/>
      <c r="AA31" s="28"/>
      <c r="AB31" s="28"/>
      <c r="AC31" s="28"/>
      <c r="AD31" s="28"/>
      <c r="AE31" s="58"/>
      <c r="AF31" s="28"/>
      <c r="AG31" s="103" t="s">
        <v>136</v>
      </c>
      <c r="AH31" s="104"/>
      <c r="AI31" s="61"/>
      <c r="AJ31" s="67">
        <v>10</v>
      </c>
      <c r="AK31" s="33">
        <f>AI31+AJ31+$P$10</f>
        <v>18</v>
      </c>
      <c r="AL31" s="28"/>
      <c r="AM31" s="58"/>
    </row>
    <row r="32" spans="1:47">
      <c r="A32" s="58"/>
      <c r="B32" s="28"/>
      <c r="C32" s="99"/>
      <c r="D32" s="130"/>
      <c r="E32" s="89" t="s">
        <v>122</v>
      </c>
      <c r="F32" s="72"/>
      <c r="G32" s="28"/>
      <c r="H32" s="58"/>
      <c r="I32" s="28"/>
      <c r="J32" s="131" t="s">
        <v>137</v>
      </c>
      <c r="K32" s="149">
        <f>IF(ISBLANK(K22),0,MIN(10*K22-状态表!I5,O32))</f>
        <v>55</v>
      </c>
      <c r="L32" s="150"/>
      <c r="M32" s="151"/>
      <c r="N32" s="136" t="s">
        <v>130</v>
      </c>
      <c r="O32" s="141">
        <f>MAX(10*K22-状态表!J5,0)</f>
        <v>74</v>
      </c>
      <c r="P32" s="141"/>
      <c r="Q32" s="28"/>
      <c r="R32" s="58"/>
      <c r="S32" s="28"/>
      <c r="T32" s="93" t="s">
        <v>138</v>
      </c>
      <c r="U32" s="125" t="str">
        <f>装备卡!D39</f>
        <v>“手术外套”</v>
      </c>
      <c r="V32" s="126"/>
      <c r="W32" s="61"/>
      <c r="X32" s="33">
        <f>装备卡!J39</f>
        <v>11</v>
      </c>
      <c r="Y32" s="168">
        <f>MAX(装备卡!K39:K41)</f>
        <v>0</v>
      </c>
      <c r="Z32" s="169"/>
      <c r="AA32" s="174" t="s">
        <v>139</v>
      </c>
      <c r="AB32" s="174"/>
      <c r="AC32" s="174"/>
      <c r="AD32" s="28"/>
      <c r="AE32" s="58"/>
      <c r="AF32" s="28"/>
      <c r="AG32" s="118" t="s">
        <v>140</v>
      </c>
      <c r="AH32" s="114"/>
      <c r="AI32" s="61"/>
      <c r="AJ32" s="61">
        <v>14</v>
      </c>
      <c r="AK32" s="33">
        <f>AI32+ROUNDDOWN(AJ32/2,0)+$P$10</f>
        <v>15</v>
      </c>
      <c r="AL32" s="28"/>
      <c r="AM32" s="58"/>
    </row>
    <row r="33" spans="1:39">
      <c r="A33" s="58"/>
      <c r="B33" s="28"/>
      <c r="C33" s="28"/>
      <c r="D33" s="28"/>
      <c r="E33" s="28"/>
      <c r="F33" s="28"/>
      <c r="G33" s="28"/>
      <c r="H33" s="58"/>
      <c r="I33" s="28"/>
      <c r="J33" s="133"/>
      <c r="K33" s="152"/>
      <c r="L33" s="153"/>
      <c r="M33" s="154"/>
      <c r="N33" s="138"/>
      <c r="O33" s="178"/>
      <c r="P33" s="178"/>
      <c r="Q33" s="28"/>
      <c r="R33" s="58"/>
      <c r="S33" s="28"/>
      <c r="T33" s="93" t="s">
        <v>141</v>
      </c>
      <c r="U33" s="125">
        <f>装备卡!D40</f>
        <v>0</v>
      </c>
      <c r="V33" s="126"/>
      <c r="W33" s="61"/>
      <c r="X33" s="33">
        <f>装备卡!J40</f>
        <v>0</v>
      </c>
      <c r="Y33" s="170"/>
      <c r="Z33" s="171"/>
      <c r="AA33" s="174"/>
      <c r="AB33" s="174"/>
      <c r="AC33" s="174"/>
      <c r="AD33" s="28"/>
      <c r="AE33" s="58"/>
      <c r="AF33" s="28"/>
      <c r="AG33" s="103" t="s">
        <v>142</v>
      </c>
      <c r="AH33" s="104"/>
      <c r="AI33" s="61"/>
      <c r="AJ33" s="61"/>
      <c r="AK33" s="33">
        <f t="shared" si="3"/>
        <v>8</v>
      </c>
      <c r="AL33" s="28"/>
      <c r="AM33" s="58"/>
    </row>
    <row r="34" spans="1:39">
      <c r="A34" s="58"/>
      <c r="B34" s="28"/>
      <c r="C34" s="127" t="s">
        <v>143</v>
      </c>
      <c r="D34" s="127"/>
      <c r="E34" s="127"/>
      <c r="F34" s="127"/>
      <c r="G34" s="28"/>
      <c r="H34" s="58"/>
      <c r="I34" s="28"/>
      <c r="J34" s="91" t="s">
        <v>144</v>
      </c>
      <c r="K34" s="28"/>
      <c r="L34" s="28"/>
      <c r="M34" s="28"/>
      <c r="N34" s="28"/>
      <c r="O34" s="56"/>
      <c r="P34" s="28"/>
      <c r="Q34" s="28"/>
      <c r="R34" s="58"/>
      <c r="S34" s="28"/>
      <c r="T34" s="93" t="s">
        <v>145</v>
      </c>
      <c r="U34" s="125">
        <f>装备卡!D41</f>
        <v>0</v>
      </c>
      <c r="V34" s="126"/>
      <c r="W34" s="61"/>
      <c r="X34" s="33">
        <f>装备卡!J41</f>
        <v>0</v>
      </c>
      <c r="Y34" s="172"/>
      <c r="Z34" s="173"/>
      <c r="AA34" s="174"/>
      <c r="AB34" s="174"/>
      <c r="AC34" s="174"/>
      <c r="AD34" s="28"/>
      <c r="AE34" s="58"/>
      <c r="AF34" s="28"/>
      <c r="AG34" s="103" t="s">
        <v>146</v>
      </c>
      <c r="AH34" s="104"/>
      <c r="AI34" s="61"/>
      <c r="AJ34" s="61"/>
      <c r="AK34" s="33">
        <f t="shared" si="3"/>
        <v>8</v>
      </c>
      <c r="AL34" s="28"/>
      <c r="AM34" s="58"/>
    </row>
    <row r="35" spans="1:39">
      <c r="A35" s="58"/>
      <c r="B35" s="28"/>
      <c r="C35" s="175"/>
      <c r="D35" s="176"/>
      <c r="E35" s="176"/>
      <c r="F35" s="176"/>
      <c r="G35" s="28"/>
      <c r="H35" s="58"/>
      <c r="I35" s="28"/>
      <c r="J35" s="128" t="s">
        <v>147</v>
      </c>
      <c r="K35" s="128"/>
      <c r="L35" s="128"/>
      <c r="M35" s="128"/>
      <c r="N35" s="95"/>
      <c r="O35" s="9" t="s">
        <v>148</v>
      </c>
      <c r="P35" s="95"/>
      <c r="Q35" s="28"/>
      <c r="R35" s="58"/>
      <c r="S35" s="28"/>
      <c r="T35" s="123" t="s">
        <v>149</v>
      </c>
      <c r="U35" s="123"/>
      <c r="V35" s="92" t="s">
        <v>150</v>
      </c>
      <c r="W35" s="123" t="s">
        <v>151</v>
      </c>
      <c r="X35" s="123"/>
      <c r="Y35" s="123" t="s">
        <v>152</v>
      </c>
      <c r="Z35" s="123"/>
      <c r="AA35" s="123" t="s">
        <v>143</v>
      </c>
      <c r="AB35" s="123"/>
      <c r="AC35" s="123"/>
      <c r="AD35" s="28"/>
      <c r="AE35" s="58"/>
      <c r="AF35" s="28"/>
      <c r="AG35" s="103" t="s">
        <v>153</v>
      </c>
      <c r="AH35" s="104"/>
      <c r="AI35" s="61"/>
      <c r="AJ35" s="61"/>
      <c r="AK35" s="33">
        <f t="shared" si="3"/>
        <v>8</v>
      </c>
      <c r="AL35" s="28"/>
      <c r="AM35" s="58"/>
    </row>
    <row r="36" spans="1:39">
      <c r="A36" s="58"/>
      <c r="B36" s="28"/>
      <c r="C36" s="176"/>
      <c r="D36" s="176"/>
      <c r="E36" s="176"/>
      <c r="F36" s="176"/>
      <c r="G36" s="28"/>
      <c r="H36" s="58"/>
      <c r="I36" s="28"/>
      <c r="J36" s="155"/>
      <c r="K36" s="106"/>
      <c r="L36" s="106"/>
      <c r="M36" s="106"/>
      <c r="N36" s="106"/>
      <c r="O36" s="106"/>
      <c r="P36" s="106"/>
      <c r="Q36" s="28"/>
      <c r="R36" s="58"/>
      <c r="S36" s="28"/>
      <c r="T36" s="157" t="str">
        <f>装备卡!C5</f>
        <v>“止疼药”</v>
      </c>
      <c r="U36" s="157"/>
      <c r="V36" s="141" t="str">
        <f>装备卡!G5</f>
        <v>3D6</v>
      </c>
      <c r="W36" s="106"/>
      <c r="X36" s="141">
        <f>装备卡!H5</f>
        <v>8</v>
      </c>
      <c r="Y36" s="141">
        <f>装备卡!I5</f>
        <v>2</v>
      </c>
      <c r="Z36" s="141"/>
      <c r="AA36" s="106"/>
      <c r="AB36" s="106"/>
      <c r="AC36" s="106"/>
      <c r="AD36" s="28"/>
      <c r="AE36" s="58"/>
      <c r="AF36" s="28"/>
      <c r="AG36" s="103" t="s">
        <v>154</v>
      </c>
      <c r="AH36" s="104"/>
      <c r="AI36" s="61"/>
      <c r="AJ36" s="61"/>
      <c r="AK36" s="33">
        <f t="shared" si="3"/>
        <v>8</v>
      </c>
      <c r="AL36" s="28"/>
      <c r="AM36" s="58"/>
    </row>
    <row r="37" spans="1:39">
      <c r="A37" s="58"/>
      <c r="B37" s="28"/>
      <c r="C37" s="176"/>
      <c r="D37" s="176"/>
      <c r="E37" s="176"/>
      <c r="F37" s="176"/>
      <c r="G37" s="28"/>
      <c r="H37" s="58"/>
      <c r="I37" s="28"/>
      <c r="J37" s="155"/>
      <c r="K37" s="106"/>
      <c r="L37" s="106"/>
      <c r="M37" s="106"/>
      <c r="N37" s="106"/>
      <c r="O37" s="106"/>
      <c r="P37" s="106"/>
      <c r="Q37" s="28"/>
      <c r="R37" s="58"/>
      <c r="S37" s="28"/>
      <c r="T37" s="157"/>
      <c r="U37" s="157"/>
      <c r="V37" s="141"/>
      <c r="W37" s="106"/>
      <c r="X37" s="141"/>
      <c r="Y37" s="141"/>
      <c r="Z37" s="141"/>
      <c r="AA37" s="106"/>
      <c r="AB37" s="106"/>
      <c r="AC37" s="106"/>
      <c r="AD37" s="28"/>
      <c r="AE37" s="58"/>
      <c r="AF37" s="28"/>
      <c r="AG37" s="103" t="s">
        <v>155</v>
      </c>
      <c r="AH37" s="104"/>
      <c r="AI37" s="61"/>
      <c r="AJ37" s="61"/>
      <c r="AK37" s="33">
        <f t="shared" si="3"/>
        <v>8</v>
      </c>
      <c r="AL37" s="28"/>
      <c r="AM37" s="58"/>
    </row>
    <row r="38" spans="1:39">
      <c r="A38" s="58"/>
      <c r="B38" s="28"/>
      <c r="C38" s="176"/>
      <c r="D38" s="176"/>
      <c r="E38" s="176"/>
      <c r="F38" s="176"/>
      <c r="G38" s="28"/>
      <c r="H38" s="58"/>
      <c r="I38" s="28"/>
      <c r="J38" s="155"/>
      <c r="K38" s="106"/>
      <c r="L38" s="106"/>
      <c r="M38" s="106"/>
      <c r="N38" s="106"/>
      <c r="O38" s="106"/>
      <c r="P38" s="106"/>
      <c r="Q38" s="28"/>
      <c r="R38" s="58"/>
      <c r="S38" s="28"/>
      <c r="T38" s="157" t="str">
        <f>装备卡!C11</f>
        <v>“麻醉针”</v>
      </c>
      <c r="U38" s="157"/>
      <c r="V38" s="141" t="str">
        <f>装备卡!G11</f>
        <v>2d6</v>
      </c>
      <c r="W38" s="106"/>
      <c r="X38" s="141">
        <f>装备卡!H11</f>
        <v>0</v>
      </c>
      <c r="Y38" s="141">
        <f>装备卡!I11</f>
        <v>0</v>
      </c>
      <c r="Z38" s="141"/>
      <c r="AA38" s="106"/>
      <c r="AB38" s="106"/>
      <c r="AC38" s="106"/>
      <c r="AD38" s="28"/>
      <c r="AE38" s="58"/>
      <c r="AF38" s="28"/>
      <c r="AG38" s="103" t="s">
        <v>156</v>
      </c>
      <c r="AH38" s="104"/>
      <c r="AI38" s="61"/>
      <c r="AJ38" s="61"/>
      <c r="AK38" s="33">
        <f t="shared" si="3"/>
        <v>8</v>
      </c>
      <c r="AL38" s="28"/>
      <c r="AM38" s="58"/>
    </row>
    <row r="39" spans="1:39">
      <c r="A39" s="58"/>
      <c r="B39" s="28"/>
      <c r="C39" s="176"/>
      <c r="D39" s="176"/>
      <c r="E39" s="176"/>
      <c r="F39" s="176"/>
      <c r="G39" s="28"/>
      <c r="H39" s="58"/>
      <c r="I39" s="28"/>
      <c r="J39" s="155"/>
      <c r="K39" s="106"/>
      <c r="L39" s="106"/>
      <c r="M39" s="106"/>
      <c r="N39" s="106"/>
      <c r="O39" s="106"/>
      <c r="P39" s="106"/>
      <c r="Q39" s="28"/>
      <c r="R39" s="58"/>
      <c r="S39" s="28"/>
      <c r="T39" s="157"/>
      <c r="U39" s="157"/>
      <c r="V39" s="141"/>
      <c r="W39" s="106"/>
      <c r="X39" s="141"/>
      <c r="Y39" s="141"/>
      <c r="Z39" s="141"/>
      <c r="AA39" s="106"/>
      <c r="AB39" s="106"/>
      <c r="AC39" s="106"/>
      <c r="AD39" s="28"/>
      <c r="AE39" s="58"/>
      <c r="AF39" s="28"/>
      <c r="AG39" s="103" t="s">
        <v>157</v>
      </c>
      <c r="AH39" s="104"/>
      <c r="AI39" s="61"/>
      <c r="AJ39" s="61"/>
      <c r="AK39" s="33">
        <f t="shared" si="3"/>
        <v>8</v>
      </c>
      <c r="AL39" s="28"/>
      <c r="AM39" s="58"/>
    </row>
    <row r="40" spans="1:39">
      <c r="A40" s="58"/>
      <c r="B40" s="28"/>
      <c r="C40" s="176"/>
      <c r="D40" s="176"/>
      <c r="E40" s="176"/>
      <c r="F40" s="176"/>
      <c r="G40" s="28"/>
      <c r="H40" s="58"/>
      <c r="I40" s="28"/>
      <c r="J40" s="155"/>
      <c r="K40" s="106"/>
      <c r="L40" s="106"/>
      <c r="M40" s="106"/>
      <c r="N40" s="106"/>
      <c r="O40" s="106"/>
      <c r="P40" s="106"/>
      <c r="Q40" s="28"/>
      <c r="R40" s="58"/>
      <c r="S40" s="28"/>
      <c r="T40" s="157" t="str">
        <f>装备卡!C17</f>
        <v>“吐真剂”</v>
      </c>
      <c r="U40" s="157"/>
      <c r="V40" s="141" t="str">
        <f>装备卡!G17</f>
        <v>1d6</v>
      </c>
      <c r="W40" s="106"/>
      <c r="X40" s="141">
        <f>装备卡!H17</f>
        <v>0</v>
      </c>
      <c r="Y40" s="141">
        <f>装备卡!I17</f>
        <v>2</v>
      </c>
      <c r="Z40" s="141"/>
      <c r="AA40" s="106"/>
      <c r="AB40" s="106"/>
      <c r="AC40" s="106"/>
      <c r="AD40" s="28"/>
      <c r="AE40" s="58"/>
      <c r="AF40" s="28"/>
      <c r="AG40" s="103" t="s">
        <v>158</v>
      </c>
      <c r="AH40" s="104"/>
      <c r="AI40" s="61"/>
      <c r="AJ40" s="61"/>
      <c r="AK40" s="33">
        <f t="shared" si="3"/>
        <v>8</v>
      </c>
      <c r="AL40" s="28"/>
      <c r="AM40" s="58"/>
    </row>
    <row r="41" spans="1:39">
      <c r="A41" s="58"/>
      <c r="B41" s="28"/>
      <c r="C41" s="176"/>
      <c r="D41" s="176"/>
      <c r="E41" s="176"/>
      <c r="F41" s="176"/>
      <c r="G41" s="28"/>
      <c r="H41" s="58"/>
      <c r="I41" s="28"/>
      <c r="J41" s="155"/>
      <c r="K41" s="106"/>
      <c r="L41" s="106"/>
      <c r="M41" s="106"/>
      <c r="N41" s="106"/>
      <c r="O41" s="106"/>
      <c r="P41" s="106"/>
      <c r="Q41" s="28"/>
      <c r="R41" s="58"/>
      <c r="S41" s="28"/>
      <c r="T41" s="157"/>
      <c r="U41" s="157"/>
      <c r="V41" s="141"/>
      <c r="W41" s="106"/>
      <c r="X41" s="141"/>
      <c r="Y41" s="141"/>
      <c r="Z41" s="141"/>
      <c r="AA41" s="106"/>
      <c r="AB41" s="106"/>
      <c r="AC41" s="106"/>
      <c r="AD41" s="28"/>
      <c r="AE41" s="58"/>
      <c r="AF41" s="28"/>
      <c r="AG41" s="28"/>
      <c r="AH41" s="28"/>
      <c r="AI41" s="28"/>
      <c r="AJ41" s="28"/>
      <c r="AK41" s="28"/>
      <c r="AL41" s="28"/>
      <c r="AM41" s="58"/>
    </row>
    <row r="42" spans="1:39">
      <c r="A42" s="58"/>
      <c r="B42" s="28"/>
      <c r="C42" s="176"/>
      <c r="D42" s="176"/>
      <c r="E42" s="176"/>
      <c r="F42" s="176"/>
      <c r="G42" s="28"/>
      <c r="H42" s="58"/>
      <c r="I42" s="28"/>
      <c r="J42" s="155"/>
      <c r="K42" s="106"/>
      <c r="L42" s="106"/>
      <c r="M42" s="106"/>
      <c r="N42" s="106"/>
      <c r="O42" s="106"/>
      <c r="P42" s="106"/>
      <c r="Q42" s="28"/>
      <c r="R42" s="58"/>
      <c r="S42" s="28"/>
      <c r="T42" s="157">
        <f>装备卡!C23</f>
        <v>0</v>
      </c>
      <c r="U42" s="157"/>
      <c r="V42" s="141">
        <f>装备卡!G23</f>
        <v>0</v>
      </c>
      <c r="W42" s="106"/>
      <c r="X42" s="141">
        <f>装备卡!H23</f>
        <v>0</v>
      </c>
      <c r="Y42" s="141">
        <f>装备卡!I23</f>
        <v>0</v>
      </c>
      <c r="Z42" s="141"/>
      <c r="AA42" s="106"/>
      <c r="AB42" s="106"/>
      <c r="AC42" s="106"/>
      <c r="AD42" s="28"/>
      <c r="AE42" s="58"/>
      <c r="AF42" s="28"/>
      <c r="AG42" s="129" t="s">
        <v>111</v>
      </c>
      <c r="AH42" s="129"/>
      <c r="AI42" s="94">
        <v>86</v>
      </c>
      <c r="AJ42" s="88" t="s">
        <v>159</v>
      </c>
      <c r="AK42" s="96">
        <f>AI42-SUM(W5:W9)-SUM(W11:W16)-SUM(W18:W21)-SUM(W23:W26)-SUM(AC5:AC26)-SUM(AJ5:AJ8)-SUM(AJ10:AJ14)-SUM(AJ16:AJ24)-SUM(AJ26:AJ40)</f>
        <v>0</v>
      </c>
      <c r="AL42" s="28"/>
      <c r="AM42" s="58"/>
    </row>
    <row r="43" spans="1:39">
      <c r="A43" s="58"/>
      <c r="B43" s="28"/>
      <c r="C43" s="176"/>
      <c r="D43" s="176"/>
      <c r="E43" s="176"/>
      <c r="F43" s="176"/>
      <c r="G43" s="28"/>
      <c r="H43" s="58"/>
      <c r="I43" s="28"/>
      <c r="J43" s="156"/>
      <c r="K43" s="119"/>
      <c r="L43" s="119"/>
      <c r="M43" s="119"/>
      <c r="N43" s="119"/>
      <c r="O43" s="106"/>
      <c r="P43" s="106"/>
      <c r="Q43" s="28"/>
      <c r="R43" s="58"/>
      <c r="S43" s="28"/>
      <c r="T43" s="157"/>
      <c r="U43" s="157"/>
      <c r="V43" s="141"/>
      <c r="W43" s="106"/>
      <c r="X43" s="141"/>
      <c r="Y43" s="141"/>
      <c r="Z43" s="141"/>
      <c r="AA43" s="106"/>
      <c r="AB43" s="106"/>
      <c r="AC43" s="106"/>
      <c r="AD43" s="28"/>
      <c r="AE43" s="58"/>
      <c r="AF43" s="28"/>
      <c r="AG43" s="144" t="s">
        <v>160</v>
      </c>
      <c r="AH43" s="144"/>
      <c r="AI43" s="144"/>
      <c r="AJ43" s="144"/>
      <c r="AK43" s="144"/>
      <c r="AL43" s="28"/>
      <c r="AM43" s="58"/>
    </row>
    <row r="44" spans="1:39">
      <c r="A44" s="58"/>
      <c r="B44" s="28"/>
      <c r="C44" s="176"/>
      <c r="D44" s="176"/>
      <c r="E44" s="176"/>
      <c r="F44" s="176"/>
      <c r="G44" s="28"/>
      <c r="H44" s="58"/>
      <c r="I44" s="28"/>
      <c r="J44" s="164" t="s">
        <v>161</v>
      </c>
      <c r="K44" s="165"/>
      <c r="L44" s="165"/>
      <c r="M44" s="165"/>
      <c r="N44" s="165"/>
      <c r="O44" s="117"/>
      <c r="P44" s="106"/>
      <c r="Q44" s="28"/>
      <c r="R44" s="58"/>
      <c r="S44" s="28"/>
      <c r="T44" s="157">
        <f>装备卡!C29</f>
        <v>0</v>
      </c>
      <c r="U44" s="157"/>
      <c r="V44" s="141">
        <f>装备卡!G29</f>
        <v>0</v>
      </c>
      <c r="W44" s="106"/>
      <c r="X44" s="141">
        <f>装备卡!H29</f>
        <v>0</v>
      </c>
      <c r="Y44" s="141">
        <f>装备卡!I29</f>
        <v>0</v>
      </c>
      <c r="Z44" s="141"/>
      <c r="AA44" s="106"/>
      <c r="AB44" s="106"/>
      <c r="AC44" s="106"/>
      <c r="AD44" s="28"/>
      <c r="AE44" s="58"/>
      <c r="AF44" s="28"/>
      <c r="AG44" s="144"/>
      <c r="AH44" s="144"/>
      <c r="AI44" s="144"/>
      <c r="AJ44" s="144"/>
      <c r="AK44" s="144"/>
      <c r="AL44" s="28"/>
      <c r="AM44" s="58"/>
    </row>
    <row r="45" spans="1:39">
      <c r="A45" s="58"/>
      <c r="B45" s="28"/>
      <c r="C45" s="176"/>
      <c r="D45" s="176"/>
      <c r="E45" s="176"/>
      <c r="F45" s="176"/>
      <c r="G45" s="28"/>
      <c r="H45" s="58"/>
      <c r="I45" s="28"/>
      <c r="J45" s="166"/>
      <c r="K45" s="167"/>
      <c r="L45" s="167"/>
      <c r="M45" s="167"/>
      <c r="N45" s="167"/>
      <c r="O45" s="147"/>
      <c r="P45" s="148"/>
      <c r="Q45" s="28"/>
      <c r="R45" s="58"/>
      <c r="S45" s="28"/>
      <c r="T45" s="157"/>
      <c r="U45" s="157"/>
      <c r="V45" s="141"/>
      <c r="W45" s="106"/>
      <c r="X45" s="141"/>
      <c r="Y45" s="141"/>
      <c r="Z45" s="141"/>
      <c r="AA45" s="106"/>
      <c r="AB45" s="106"/>
      <c r="AC45" s="106"/>
      <c r="AD45" s="28"/>
      <c r="AE45" s="58"/>
      <c r="AF45" s="28"/>
      <c r="AG45" s="144"/>
      <c r="AH45" s="144"/>
      <c r="AI45" s="144"/>
      <c r="AJ45" s="144"/>
      <c r="AK45" s="144"/>
      <c r="AL45" s="28"/>
      <c r="AM45" s="58"/>
    </row>
    <row r="46" spans="1:39">
      <c r="A46" s="58"/>
      <c r="B46" s="28"/>
      <c r="C46" s="28"/>
      <c r="D46" s="28"/>
      <c r="E46" s="28"/>
      <c r="F46" s="28"/>
      <c r="G46" s="28"/>
      <c r="H46" s="58"/>
      <c r="I46" s="28"/>
      <c r="J46" s="28"/>
      <c r="K46" s="28"/>
      <c r="L46" s="28"/>
      <c r="M46" s="28"/>
      <c r="N46" s="28"/>
      <c r="O46" s="56"/>
      <c r="P46" s="28"/>
      <c r="Q46" s="28"/>
      <c r="R46" s="5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58"/>
      <c r="AF46" s="58"/>
      <c r="AG46" s="58"/>
      <c r="AH46" s="58"/>
      <c r="AI46" s="58"/>
      <c r="AJ46" s="58"/>
      <c r="AK46" s="58"/>
      <c r="AL46" s="58"/>
      <c r="AM46" s="58"/>
    </row>
    <row r="47" spans="1:39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9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</row>
  </sheetData>
  <mergeCells count="220">
    <mergeCell ref="K30:M31"/>
    <mergeCell ref="T38:U39"/>
    <mergeCell ref="T40:U41"/>
    <mergeCell ref="T42:U43"/>
    <mergeCell ref="T44:U45"/>
    <mergeCell ref="J44:N45"/>
    <mergeCell ref="Y32:Z34"/>
    <mergeCell ref="AA32:AC34"/>
    <mergeCell ref="C35:F45"/>
    <mergeCell ref="O30:P31"/>
    <mergeCell ref="O32:P33"/>
    <mergeCell ref="J36:N37"/>
    <mergeCell ref="J38:N39"/>
    <mergeCell ref="J40:N41"/>
    <mergeCell ref="J42:N43"/>
    <mergeCell ref="O36:P37"/>
    <mergeCell ref="Y36:Z37"/>
    <mergeCell ref="O38:P39"/>
    <mergeCell ref="Y38:Z39"/>
    <mergeCell ref="O40:P41"/>
    <mergeCell ref="Y40:Z41"/>
    <mergeCell ref="O42:P43"/>
    <mergeCell ref="Y42:Z43"/>
    <mergeCell ref="T36:U37"/>
    <mergeCell ref="AO5:AU7"/>
    <mergeCell ref="AO10:AU13"/>
    <mergeCell ref="AO16:AU19"/>
    <mergeCell ref="AO22:AU25"/>
    <mergeCell ref="AA36:AC37"/>
    <mergeCell ref="AA38:AC39"/>
    <mergeCell ref="AA40:AC41"/>
    <mergeCell ref="AA42:AC43"/>
    <mergeCell ref="AA44:AC45"/>
    <mergeCell ref="V44:V45"/>
    <mergeCell ref="W36:W37"/>
    <mergeCell ref="W38:W39"/>
    <mergeCell ref="W40:W41"/>
    <mergeCell ref="W42:W43"/>
    <mergeCell ref="W44:W45"/>
    <mergeCell ref="X36:X37"/>
    <mergeCell ref="X38:X39"/>
    <mergeCell ref="X40:X41"/>
    <mergeCell ref="X42:X43"/>
    <mergeCell ref="X44:X45"/>
    <mergeCell ref="O24:O25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AG36:AH36"/>
    <mergeCell ref="AG37:AH37"/>
    <mergeCell ref="AG38:AH38"/>
    <mergeCell ref="AG39:AH39"/>
    <mergeCell ref="AG40:AH40"/>
    <mergeCell ref="AG42:AH42"/>
    <mergeCell ref="C27:C28"/>
    <mergeCell ref="C29:C30"/>
    <mergeCell ref="C31:C32"/>
    <mergeCell ref="D27:D28"/>
    <mergeCell ref="D29:D30"/>
    <mergeCell ref="D31:D32"/>
    <mergeCell ref="J30:J31"/>
    <mergeCell ref="J32:J33"/>
    <mergeCell ref="N30:N31"/>
    <mergeCell ref="N32:N33"/>
    <mergeCell ref="V36:V37"/>
    <mergeCell ref="V38:V39"/>
    <mergeCell ref="V40:V41"/>
    <mergeCell ref="V42:V43"/>
    <mergeCell ref="AG43:AK45"/>
    <mergeCell ref="O44:P45"/>
    <mergeCell ref="Y44:Z45"/>
    <mergeCell ref="K32:M33"/>
    <mergeCell ref="U32:V32"/>
    <mergeCell ref="AG32:AH32"/>
    <mergeCell ref="U33:V33"/>
    <mergeCell ref="AG33:AH33"/>
    <mergeCell ref="C34:F34"/>
    <mergeCell ref="U34:V34"/>
    <mergeCell ref="AG34:AH34"/>
    <mergeCell ref="J35:M35"/>
    <mergeCell ref="T35:U35"/>
    <mergeCell ref="W35:X35"/>
    <mergeCell ref="Y35:Z35"/>
    <mergeCell ref="AA35:AC35"/>
    <mergeCell ref="AG35:AH35"/>
    <mergeCell ref="AC26:AD26"/>
    <mergeCell ref="AG26:AH26"/>
    <mergeCell ref="AG27:AH27"/>
    <mergeCell ref="AG28:AH28"/>
    <mergeCell ref="AG29:AH29"/>
    <mergeCell ref="AG30:AH30"/>
    <mergeCell ref="T31:V31"/>
    <mergeCell ref="W31:X31"/>
    <mergeCell ref="Y31:Z31"/>
    <mergeCell ref="AG31:AH31"/>
    <mergeCell ref="T23:U23"/>
    <mergeCell ref="Z23:AA23"/>
    <mergeCell ref="AC23:AD23"/>
    <mergeCell ref="AG23:AH23"/>
    <mergeCell ref="T24:U24"/>
    <mergeCell ref="AC24:AD24"/>
    <mergeCell ref="AG24:AH24"/>
    <mergeCell ref="AC25:AD25"/>
    <mergeCell ref="AG25:AH25"/>
    <mergeCell ref="D20:F20"/>
    <mergeCell ref="T20:U20"/>
    <mergeCell ref="AC20:AD20"/>
    <mergeCell ref="AG20:AH20"/>
    <mergeCell ref="T21:U21"/>
    <mergeCell ref="AC21:AD21"/>
    <mergeCell ref="AG21:AH21"/>
    <mergeCell ref="D22:F22"/>
    <mergeCell ref="T22:U22"/>
    <mergeCell ref="AC22:AD22"/>
    <mergeCell ref="AG22:AH22"/>
    <mergeCell ref="J22:J23"/>
    <mergeCell ref="K22:K23"/>
    <mergeCell ref="D18:F18"/>
    <mergeCell ref="T18:U18"/>
    <mergeCell ref="Z18:AA18"/>
    <mergeCell ref="AC18:AD18"/>
    <mergeCell ref="AG18:AH18"/>
    <mergeCell ref="T19:U19"/>
    <mergeCell ref="Z19:AA19"/>
    <mergeCell ref="AC19:AD19"/>
    <mergeCell ref="AG19:AH19"/>
    <mergeCell ref="D16:F16"/>
    <mergeCell ref="T16:U16"/>
    <mergeCell ref="Z16:AA16"/>
    <mergeCell ref="AC16:AD16"/>
    <mergeCell ref="AG16:AH16"/>
    <mergeCell ref="D17:F17"/>
    <mergeCell ref="T17:U17"/>
    <mergeCell ref="Z17:AA17"/>
    <mergeCell ref="AC17:AD17"/>
    <mergeCell ref="AG17:AH17"/>
    <mergeCell ref="T13:U13"/>
    <mergeCell ref="Z13:AA13"/>
    <mergeCell ref="AC13:AD13"/>
    <mergeCell ref="AG13:AH13"/>
    <mergeCell ref="T14:U14"/>
    <mergeCell ref="Z14:AA14"/>
    <mergeCell ref="AC14:AD14"/>
    <mergeCell ref="AG14:AH14"/>
    <mergeCell ref="C15:F15"/>
    <mergeCell ref="T15:U15"/>
    <mergeCell ref="Z15:AA15"/>
    <mergeCell ref="AC15:AD15"/>
    <mergeCell ref="AG15:AH15"/>
    <mergeCell ref="C4:F14"/>
    <mergeCell ref="T10:U10"/>
    <mergeCell ref="Z10:AA10"/>
    <mergeCell ref="AC10:AD10"/>
    <mergeCell ref="AG10:AH10"/>
    <mergeCell ref="T11:U11"/>
    <mergeCell ref="Z11:AA11"/>
    <mergeCell ref="AC11:AD11"/>
    <mergeCell ref="AG11:AH11"/>
    <mergeCell ref="T12:U12"/>
    <mergeCell ref="Z12:AA12"/>
    <mergeCell ref="AC12:AD12"/>
    <mergeCell ref="AG12:AH12"/>
    <mergeCell ref="T7:U7"/>
    <mergeCell ref="Z7:AA7"/>
    <mergeCell ref="AC7:AD7"/>
    <mergeCell ref="T8:U8"/>
    <mergeCell ref="Z8:AA8"/>
    <mergeCell ref="AC8:AD8"/>
    <mergeCell ref="AG8:AH8"/>
    <mergeCell ref="T9:U9"/>
    <mergeCell ref="Z9:AA9"/>
    <mergeCell ref="AC9:AD9"/>
    <mergeCell ref="AG9:AH9"/>
    <mergeCell ref="T4:U4"/>
    <mergeCell ref="Z4:AA4"/>
    <mergeCell ref="AC4:AD4"/>
    <mergeCell ref="AG4:AH4"/>
    <mergeCell ref="T5:U5"/>
    <mergeCell ref="Z5:AA5"/>
    <mergeCell ref="AC5:AD5"/>
    <mergeCell ref="AG5:AH5"/>
    <mergeCell ref="T6:U6"/>
    <mergeCell ref="Z6:AA6"/>
    <mergeCell ref="AC6:AD6"/>
    <mergeCell ref="AG6:AH6"/>
  </mergeCells>
  <phoneticPr fontId="29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C43"/>
  <sheetViews>
    <sheetView topLeftCell="D1" workbookViewId="0">
      <selection activeCell="Y19" sqref="Y19:Y20"/>
    </sheetView>
  </sheetViews>
  <sheetFormatPr defaultColWidth="8.90625" defaultRowHeight="14"/>
  <cols>
    <col min="1" max="1" width="8.90625" style="1"/>
    <col min="2" max="2" width="1.7265625" style="1" customWidth="1"/>
    <col min="3" max="3" width="8.90625" style="2"/>
    <col min="4" max="4" width="15.6328125" style="2" customWidth="1"/>
    <col min="5" max="5" width="10.7265625" style="2" customWidth="1"/>
    <col min="6" max="7" width="8.90625" style="2"/>
    <col min="8" max="8" width="13.6328125" style="2" customWidth="1"/>
    <col min="9" max="13" width="8.90625" style="2"/>
    <col min="14" max="14" width="1.7265625" style="1" customWidth="1"/>
    <col min="15" max="15" width="4.7265625" style="1" customWidth="1"/>
    <col min="16" max="16" width="1.7265625" style="1" customWidth="1"/>
    <col min="17" max="20" width="8.90625" style="1"/>
    <col min="21" max="21" width="1.7265625" style="1" customWidth="1"/>
    <col min="22" max="22" width="4.7265625" style="1" customWidth="1"/>
    <col min="23" max="23" width="1.7265625" style="1" customWidth="1"/>
    <col min="24" max="24" width="14.08984375" style="2" customWidth="1"/>
    <col min="25" max="25" width="30.7265625" style="2" customWidth="1"/>
    <col min="26" max="27" width="8.90625" style="2"/>
    <col min="28" max="28" width="11" style="2" customWidth="1"/>
    <col min="29" max="29" width="1.7265625" style="1" customWidth="1"/>
    <col min="30" max="16384" width="8.90625" style="1"/>
  </cols>
  <sheetData>
    <row r="2" spans="2:29">
      <c r="B2" s="3" t="s">
        <v>149</v>
      </c>
      <c r="C2" s="44"/>
      <c r="D2" s="44"/>
      <c r="E2" s="180" t="s">
        <v>162</v>
      </c>
      <c r="F2" s="180"/>
      <c r="G2" s="180"/>
      <c r="H2" s="180"/>
      <c r="I2" s="180"/>
      <c r="J2" s="180"/>
      <c r="K2" s="180"/>
      <c r="L2" s="180"/>
      <c r="M2" s="180"/>
      <c r="N2" s="180"/>
      <c r="P2" s="3" t="s">
        <v>163</v>
      </c>
      <c r="Q2" s="18"/>
      <c r="R2" s="18"/>
      <c r="W2" s="3" t="s">
        <v>164</v>
      </c>
      <c r="X2" s="44"/>
      <c r="Y2" s="180" t="s">
        <v>165</v>
      </c>
      <c r="Z2" s="180"/>
      <c r="AA2" s="180"/>
      <c r="AB2" s="180"/>
      <c r="AC2" s="180"/>
    </row>
    <row r="3" spans="2:29" ht="10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"/>
      <c r="P3" s="6"/>
      <c r="Q3" s="6"/>
      <c r="R3" s="6"/>
      <c r="S3" s="6"/>
      <c r="T3" s="6"/>
      <c r="U3" s="6"/>
      <c r="W3" s="6"/>
      <c r="X3" s="7"/>
      <c r="Y3" s="7"/>
      <c r="Z3" s="7"/>
      <c r="AA3" s="7"/>
      <c r="AB3" s="7"/>
      <c r="AC3" s="6"/>
    </row>
    <row r="4" spans="2:29">
      <c r="B4" s="6"/>
      <c r="C4" s="99" t="s">
        <v>166</v>
      </c>
      <c r="D4" s="99"/>
      <c r="E4" s="8" t="s">
        <v>167</v>
      </c>
      <c r="F4" s="8" t="s">
        <v>168</v>
      </c>
      <c r="G4" s="8" t="s">
        <v>169</v>
      </c>
      <c r="H4" s="8" t="s">
        <v>170</v>
      </c>
      <c r="I4" s="8" t="s">
        <v>152</v>
      </c>
      <c r="J4" s="8" t="s">
        <v>171</v>
      </c>
      <c r="K4" s="8" t="s">
        <v>172</v>
      </c>
      <c r="L4" s="8" t="s">
        <v>173</v>
      </c>
      <c r="M4" s="8" t="s">
        <v>174</v>
      </c>
      <c r="N4" s="6"/>
      <c r="P4" s="6"/>
      <c r="Q4" s="205" t="s">
        <v>175</v>
      </c>
      <c r="R4" s="45" t="s">
        <v>176</v>
      </c>
      <c r="S4" s="181"/>
      <c r="T4" s="182"/>
      <c r="U4" s="6"/>
      <c r="W4" s="6"/>
      <c r="X4" s="10" t="s">
        <v>177</v>
      </c>
      <c r="Y4" s="10" t="s">
        <v>178</v>
      </c>
      <c r="Z4" s="10" t="s">
        <v>179</v>
      </c>
      <c r="AA4" s="10" t="s">
        <v>173</v>
      </c>
      <c r="AB4" s="10" t="s">
        <v>174</v>
      </c>
      <c r="AC4" s="6"/>
    </row>
    <row r="5" spans="2:29">
      <c r="B5" s="6"/>
      <c r="C5" s="238" t="s">
        <v>374</v>
      </c>
      <c r="D5" s="184"/>
      <c r="E5" s="237" t="s">
        <v>372</v>
      </c>
      <c r="F5" s="43"/>
      <c r="G5" s="239" t="s">
        <v>373</v>
      </c>
      <c r="H5" s="43">
        <v>8</v>
      </c>
      <c r="I5" s="43">
        <v>2</v>
      </c>
      <c r="J5" s="43">
        <v>1</v>
      </c>
      <c r="K5" s="239" t="s">
        <v>376</v>
      </c>
      <c r="L5" s="43">
        <v>100</v>
      </c>
      <c r="M5" s="43"/>
      <c r="N5" s="6"/>
      <c r="P5" s="6"/>
      <c r="Q5" s="206"/>
      <c r="R5" s="45" t="s">
        <v>180</v>
      </c>
      <c r="S5" s="181"/>
      <c r="T5" s="182"/>
      <c r="U5" s="6"/>
      <c r="W5" s="6"/>
      <c r="X5" s="241" t="s">
        <v>388</v>
      </c>
      <c r="Y5" s="207"/>
      <c r="Z5" s="195"/>
      <c r="AA5" s="195">
        <v>100</v>
      </c>
      <c r="AB5" s="195"/>
      <c r="AC5" s="6"/>
    </row>
    <row r="6" spans="2:29">
      <c r="B6" s="6"/>
      <c r="C6" s="47" t="s">
        <v>143</v>
      </c>
      <c r="D6" s="240" t="s">
        <v>377</v>
      </c>
      <c r="E6" s="185"/>
      <c r="F6" s="185"/>
      <c r="G6" s="185"/>
      <c r="H6" s="185"/>
      <c r="I6" s="185"/>
      <c r="J6" s="185"/>
      <c r="K6" s="185"/>
      <c r="L6" s="185"/>
      <c r="M6" s="186"/>
      <c r="N6" s="6"/>
      <c r="P6" s="6"/>
      <c r="Q6" s="99" t="s">
        <v>181</v>
      </c>
      <c r="R6" s="48" t="s">
        <v>182</v>
      </c>
      <c r="S6" s="181">
        <v>3200</v>
      </c>
      <c r="T6" s="182"/>
      <c r="U6" s="6"/>
      <c r="W6" s="6"/>
      <c r="X6" s="195"/>
      <c r="Y6" s="195"/>
      <c r="Z6" s="195"/>
      <c r="AA6" s="195"/>
      <c r="AB6" s="195"/>
      <c r="AC6" s="6"/>
    </row>
    <row r="7" spans="2:29">
      <c r="B7" s="6"/>
      <c r="C7" s="203" t="s">
        <v>183</v>
      </c>
      <c r="D7" s="49"/>
      <c r="E7" s="187"/>
      <c r="F7" s="187"/>
      <c r="G7" s="187"/>
      <c r="H7" s="187"/>
      <c r="I7" s="187"/>
      <c r="J7" s="187"/>
      <c r="K7" s="188"/>
      <c r="L7" s="49"/>
      <c r="M7" s="50"/>
      <c r="N7" s="6"/>
      <c r="P7" s="6"/>
      <c r="Q7" s="99"/>
      <c r="R7" s="48" t="s">
        <v>184</v>
      </c>
      <c r="S7" s="181">
        <f>SUM(成长表!M5:M50)</f>
        <v>0</v>
      </c>
      <c r="T7" s="182"/>
      <c r="U7" s="6"/>
      <c r="W7" s="6"/>
      <c r="X7" s="241" t="s">
        <v>389</v>
      </c>
      <c r="Y7" s="195"/>
      <c r="Z7" s="195"/>
      <c r="AA7" s="195">
        <v>20</v>
      </c>
      <c r="AB7" s="195"/>
      <c r="AC7" s="6"/>
    </row>
    <row r="8" spans="2:29">
      <c r="B8" s="6"/>
      <c r="C8" s="203"/>
      <c r="D8" s="49"/>
      <c r="E8" s="187"/>
      <c r="F8" s="187"/>
      <c r="G8" s="187"/>
      <c r="H8" s="187"/>
      <c r="I8" s="187"/>
      <c r="J8" s="187"/>
      <c r="K8" s="188"/>
      <c r="L8" s="49"/>
      <c r="M8" s="50"/>
      <c r="N8" s="6"/>
      <c r="P8" s="6"/>
      <c r="Q8" s="99"/>
      <c r="R8" s="48" t="s">
        <v>185</v>
      </c>
      <c r="S8" s="189">
        <f>SUM(L5,L7:L9,L11,L13:L15,L17,L19:L21,L23,L25:L27,L29,L31:L33,L39:L41)+状态表!H5+SUM(AA5:AA42)</f>
        <v>2890</v>
      </c>
      <c r="T8" s="190"/>
      <c r="U8" s="6"/>
      <c r="W8" s="6"/>
      <c r="X8" s="195"/>
      <c r="Y8" s="195"/>
      <c r="Z8" s="195"/>
      <c r="AA8" s="195"/>
      <c r="AB8" s="195"/>
      <c r="AC8" s="6"/>
    </row>
    <row r="9" spans="2:29">
      <c r="B9" s="6"/>
      <c r="C9" s="203"/>
      <c r="D9" s="51"/>
      <c r="E9" s="191"/>
      <c r="F9" s="191"/>
      <c r="G9" s="191"/>
      <c r="H9" s="191"/>
      <c r="I9" s="191"/>
      <c r="J9" s="191"/>
      <c r="K9" s="192"/>
      <c r="L9" s="51"/>
      <c r="M9" s="50"/>
      <c r="N9" s="6"/>
      <c r="P9" s="6"/>
      <c r="Q9" s="99"/>
      <c r="R9" s="48" t="s">
        <v>186</v>
      </c>
      <c r="S9" s="181"/>
      <c r="T9" s="182"/>
      <c r="U9" s="6"/>
      <c r="W9" s="6"/>
      <c r="X9" s="241" t="s">
        <v>390</v>
      </c>
      <c r="Y9" s="195"/>
      <c r="Z9" s="195"/>
      <c r="AA9" s="195">
        <v>50</v>
      </c>
      <c r="AB9" s="195"/>
      <c r="AC9" s="6"/>
    </row>
    <row r="10" spans="2:29">
      <c r="B10" s="6"/>
      <c r="C10" s="99" t="s">
        <v>166</v>
      </c>
      <c r="D10" s="99"/>
      <c r="E10" s="8" t="s">
        <v>167</v>
      </c>
      <c r="F10" s="8" t="s">
        <v>168</v>
      </c>
      <c r="G10" s="8" t="s">
        <v>169</v>
      </c>
      <c r="H10" s="8" t="s">
        <v>170</v>
      </c>
      <c r="I10" s="8" t="s">
        <v>152</v>
      </c>
      <c r="J10" s="8" t="s">
        <v>171</v>
      </c>
      <c r="K10" s="8" t="s">
        <v>172</v>
      </c>
      <c r="L10" s="8" t="s">
        <v>173</v>
      </c>
      <c r="M10" s="8" t="s">
        <v>174</v>
      </c>
      <c r="N10" s="6"/>
      <c r="P10" s="6"/>
      <c r="Q10" s="99"/>
      <c r="R10" s="45" t="s">
        <v>187</v>
      </c>
      <c r="S10" s="189">
        <f>SUM(S6:T7)-SUM(S8:T9)</f>
        <v>310</v>
      </c>
      <c r="T10" s="190"/>
      <c r="U10" s="6"/>
      <c r="W10" s="6"/>
      <c r="X10" s="195"/>
      <c r="Y10" s="195"/>
      <c r="Z10" s="195"/>
      <c r="AA10" s="195"/>
      <c r="AB10" s="195"/>
      <c r="AC10" s="6"/>
    </row>
    <row r="11" spans="2:29">
      <c r="B11" s="6"/>
      <c r="C11" s="238" t="s">
        <v>386</v>
      </c>
      <c r="D11" s="184"/>
      <c r="E11" s="237" t="s">
        <v>375</v>
      </c>
      <c r="F11" s="43"/>
      <c r="G11" s="239" t="s">
        <v>383</v>
      </c>
      <c r="H11" s="43"/>
      <c r="I11" s="43"/>
      <c r="J11" s="43">
        <v>1</v>
      </c>
      <c r="K11" s="239" t="s">
        <v>382</v>
      </c>
      <c r="L11" s="43">
        <v>100</v>
      </c>
      <c r="M11" s="43"/>
      <c r="N11" s="6"/>
      <c r="P11" s="6"/>
      <c r="Q11" s="210" t="s">
        <v>188</v>
      </c>
      <c r="R11" s="210"/>
      <c r="S11" s="210"/>
      <c r="T11" s="210"/>
      <c r="U11" s="6"/>
      <c r="W11" s="6"/>
      <c r="X11" s="196" t="s">
        <v>385</v>
      </c>
      <c r="Y11" s="196"/>
      <c r="Z11" s="196"/>
      <c r="AA11" s="196">
        <v>50</v>
      </c>
      <c r="AB11" s="195"/>
      <c r="AC11" s="6"/>
    </row>
    <row r="12" spans="2:29">
      <c r="B12" s="6"/>
      <c r="C12" s="47" t="s">
        <v>143</v>
      </c>
      <c r="D12" s="240" t="s">
        <v>394</v>
      </c>
      <c r="E12" s="185"/>
      <c r="F12" s="185"/>
      <c r="G12" s="185"/>
      <c r="H12" s="185"/>
      <c r="I12" s="185"/>
      <c r="J12" s="185"/>
      <c r="K12" s="185"/>
      <c r="L12" s="185"/>
      <c r="M12" s="186"/>
      <c r="N12" s="6"/>
      <c r="P12" s="6"/>
      <c r="Q12" s="210"/>
      <c r="R12" s="210"/>
      <c r="S12" s="210"/>
      <c r="T12" s="210"/>
      <c r="U12" s="6"/>
      <c r="W12" s="6"/>
      <c r="X12" s="198"/>
      <c r="Y12" s="198"/>
      <c r="Z12" s="198"/>
      <c r="AA12" s="198"/>
      <c r="AB12" s="195"/>
      <c r="AC12" s="6"/>
    </row>
    <row r="13" spans="2:29">
      <c r="B13" s="6"/>
      <c r="C13" s="203" t="s">
        <v>183</v>
      </c>
      <c r="D13" s="49"/>
      <c r="E13" s="187"/>
      <c r="F13" s="187"/>
      <c r="G13" s="187"/>
      <c r="H13" s="187"/>
      <c r="I13" s="187"/>
      <c r="J13" s="187"/>
      <c r="K13" s="188"/>
      <c r="L13" s="49"/>
      <c r="M13" s="50"/>
      <c r="N13" s="6"/>
      <c r="W13" s="6"/>
      <c r="X13" s="242" t="s">
        <v>392</v>
      </c>
      <c r="Y13" s="196"/>
      <c r="Z13" s="196"/>
      <c r="AA13" s="196">
        <v>100</v>
      </c>
      <c r="AB13" s="195"/>
      <c r="AC13" s="6"/>
    </row>
    <row r="14" spans="2:29">
      <c r="B14" s="6"/>
      <c r="C14" s="203"/>
      <c r="D14" s="49"/>
      <c r="E14" s="187"/>
      <c r="F14" s="187"/>
      <c r="G14" s="187"/>
      <c r="H14" s="187"/>
      <c r="I14" s="187"/>
      <c r="J14" s="187"/>
      <c r="K14" s="188"/>
      <c r="L14" s="49"/>
      <c r="M14" s="50"/>
      <c r="N14" s="6"/>
      <c r="P14" s="3" t="s">
        <v>189</v>
      </c>
      <c r="Q14" s="18"/>
      <c r="R14" s="18"/>
      <c r="S14" s="193" t="s">
        <v>190</v>
      </c>
      <c r="T14" s="193"/>
      <c r="U14" s="193"/>
      <c r="W14" s="6"/>
      <c r="X14" s="198"/>
      <c r="Y14" s="198"/>
      <c r="Z14" s="198"/>
      <c r="AA14" s="198"/>
      <c r="AB14" s="195"/>
      <c r="AC14" s="6"/>
    </row>
    <row r="15" spans="2:29">
      <c r="B15" s="6"/>
      <c r="C15" s="203"/>
      <c r="D15" s="51"/>
      <c r="E15" s="191"/>
      <c r="F15" s="191"/>
      <c r="G15" s="191"/>
      <c r="H15" s="191"/>
      <c r="I15" s="191"/>
      <c r="J15" s="191"/>
      <c r="K15" s="192"/>
      <c r="L15" s="51"/>
      <c r="M15" s="50"/>
      <c r="N15" s="6"/>
      <c r="P15" s="6"/>
      <c r="Q15" s="6"/>
      <c r="R15" s="6"/>
      <c r="S15" s="6"/>
      <c r="T15" s="6"/>
      <c r="U15" s="6"/>
      <c r="W15" s="6"/>
      <c r="X15" s="242" t="s">
        <v>393</v>
      </c>
      <c r="Y15" s="196"/>
      <c r="Z15" s="196"/>
      <c r="AA15" s="196">
        <v>500</v>
      </c>
      <c r="AB15" s="195"/>
      <c r="AC15" s="6"/>
    </row>
    <row r="16" spans="2:29">
      <c r="B16" s="6"/>
      <c r="C16" s="99" t="s">
        <v>166</v>
      </c>
      <c r="D16" s="99"/>
      <c r="E16" s="8" t="s">
        <v>167</v>
      </c>
      <c r="F16" s="8" t="s">
        <v>168</v>
      </c>
      <c r="G16" s="8" t="s">
        <v>169</v>
      </c>
      <c r="H16" s="8" t="s">
        <v>170</v>
      </c>
      <c r="I16" s="8" t="s">
        <v>152</v>
      </c>
      <c r="J16" s="8" t="s">
        <v>171</v>
      </c>
      <c r="K16" s="8" t="s">
        <v>172</v>
      </c>
      <c r="L16" s="8" t="s">
        <v>173</v>
      </c>
      <c r="M16" s="8" t="s">
        <v>174</v>
      </c>
      <c r="N16" s="6"/>
      <c r="P16" s="6"/>
      <c r="Q16" s="194" t="s">
        <v>191</v>
      </c>
      <c r="R16" s="123"/>
      <c r="S16" s="194" t="s">
        <v>192</v>
      </c>
      <c r="T16" s="123"/>
      <c r="U16" s="6"/>
      <c r="W16" s="6"/>
      <c r="X16" s="198"/>
      <c r="Y16" s="198"/>
      <c r="Z16" s="198"/>
      <c r="AA16" s="198"/>
      <c r="AB16" s="195"/>
      <c r="AC16" s="6"/>
    </row>
    <row r="17" spans="2:29">
      <c r="B17" s="6"/>
      <c r="C17" s="238" t="s">
        <v>378</v>
      </c>
      <c r="D17" s="184"/>
      <c r="E17" s="237" t="s">
        <v>391</v>
      </c>
      <c r="F17" s="43"/>
      <c r="G17" s="239" t="s">
        <v>379</v>
      </c>
      <c r="H17" s="43"/>
      <c r="I17" s="43">
        <v>2</v>
      </c>
      <c r="J17" s="43"/>
      <c r="K17" s="239" t="s">
        <v>376</v>
      </c>
      <c r="L17" s="43">
        <v>50</v>
      </c>
      <c r="M17" s="43"/>
      <c r="N17" s="6"/>
      <c r="P17" s="6"/>
      <c r="Q17" s="241" t="s">
        <v>399</v>
      </c>
      <c r="R17" s="195"/>
      <c r="S17" s="195">
        <v>300</v>
      </c>
      <c r="T17" s="195"/>
      <c r="U17" s="6"/>
      <c r="W17" s="6"/>
      <c r="X17" s="242" t="s">
        <v>398</v>
      </c>
      <c r="Y17" s="196"/>
      <c r="Z17" s="196"/>
      <c r="AA17" s="196">
        <v>20</v>
      </c>
      <c r="AB17" s="195"/>
      <c r="AC17" s="6"/>
    </row>
    <row r="18" spans="2:29">
      <c r="B18" s="6"/>
      <c r="C18" s="47" t="s">
        <v>143</v>
      </c>
      <c r="D18" s="240" t="s">
        <v>384</v>
      </c>
      <c r="E18" s="185"/>
      <c r="F18" s="185"/>
      <c r="G18" s="185"/>
      <c r="H18" s="185"/>
      <c r="I18" s="185"/>
      <c r="J18" s="185"/>
      <c r="K18" s="185"/>
      <c r="L18" s="185"/>
      <c r="M18" s="186"/>
      <c r="N18" s="6"/>
      <c r="P18" s="6"/>
      <c r="Q18" s="194" t="s">
        <v>193</v>
      </c>
      <c r="R18" s="123"/>
      <c r="S18" s="194" t="s">
        <v>192</v>
      </c>
      <c r="T18" s="123"/>
      <c r="U18" s="6"/>
      <c r="W18" s="6"/>
      <c r="X18" s="198"/>
      <c r="Y18" s="198"/>
      <c r="Z18" s="198"/>
      <c r="AA18" s="198"/>
      <c r="AB18" s="195"/>
      <c r="AC18" s="6"/>
    </row>
    <row r="19" spans="2:29">
      <c r="B19" s="6"/>
      <c r="C19" s="203" t="s">
        <v>183</v>
      </c>
      <c r="D19" s="49"/>
      <c r="E19" s="187"/>
      <c r="F19" s="187"/>
      <c r="G19" s="187"/>
      <c r="H19" s="187"/>
      <c r="I19" s="187"/>
      <c r="J19" s="187"/>
      <c r="K19" s="188"/>
      <c r="L19" s="49"/>
      <c r="M19" s="50"/>
      <c r="N19" s="6"/>
      <c r="P19" s="6"/>
      <c r="Q19" s="241" t="s">
        <v>387</v>
      </c>
      <c r="R19" s="195"/>
      <c r="S19" s="195">
        <v>0</v>
      </c>
      <c r="T19" s="195"/>
      <c r="U19" s="6"/>
      <c r="W19" s="6"/>
      <c r="X19" s="242" t="s">
        <v>411</v>
      </c>
      <c r="Y19" s="196"/>
      <c r="Z19" s="196">
        <v>30</v>
      </c>
      <c r="AA19" s="196">
        <v>300</v>
      </c>
      <c r="AB19" s="195"/>
      <c r="AC19" s="6"/>
    </row>
    <row r="20" spans="2:29">
      <c r="B20" s="6"/>
      <c r="C20" s="203"/>
      <c r="D20" s="49"/>
      <c r="E20" s="187"/>
      <c r="F20" s="187"/>
      <c r="G20" s="187"/>
      <c r="H20" s="187"/>
      <c r="I20" s="187"/>
      <c r="J20" s="187"/>
      <c r="K20" s="188"/>
      <c r="L20" s="49"/>
      <c r="M20" s="50"/>
      <c r="N20" s="6"/>
      <c r="P20" s="6"/>
      <c r="Q20" s="194" t="s">
        <v>194</v>
      </c>
      <c r="R20" s="123"/>
      <c r="S20" s="194" t="s">
        <v>195</v>
      </c>
      <c r="T20" s="123"/>
      <c r="U20" s="6"/>
      <c r="W20" s="6"/>
      <c r="X20" s="198"/>
      <c r="Y20" s="198"/>
      <c r="Z20" s="198"/>
      <c r="AA20" s="198"/>
      <c r="AB20" s="195"/>
      <c r="AC20" s="6"/>
    </row>
    <row r="21" spans="2:29">
      <c r="B21" s="6"/>
      <c r="C21" s="203"/>
      <c r="D21" s="51"/>
      <c r="E21" s="191"/>
      <c r="F21" s="191"/>
      <c r="G21" s="191"/>
      <c r="H21" s="191"/>
      <c r="I21" s="191"/>
      <c r="J21" s="191"/>
      <c r="K21" s="192"/>
      <c r="L21" s="51"/>
      <c r="M21" s="50"/>
      <c r="N21" s="6"/>
      <c r="P21" s="6"/>
      <c r="Q21" s="196"/>
      <c r="R21" s="196"/>
      <c r="S21" s="197">
        <f>S19+S17</f>
        <v>300</v>
      </c>
      <c r="T21" s="197"/>
      <c r="U21" s="6"/>
      <c r="W21" s="6"/>
      <c r="X21" s="196"/>
      <c r="Y21" s="196"/>
      <c r="Z21" s="196"/>
      <c r="AA21" s="196"/>
      <c r="AB21" s="195"/>
      <c r="AC21" s="6"/>
    </row>
    <row r="22" spans="2:29">
      <c r="B22" s="6"/>
      <c r="C22" s="99" t="s">
        <v>166</v>
      </c>
      <c r="D22" s="99"/>
      <c r="E22" s="8" t="s">
        <v>167</v>
      </c>
      <c r="F22" s="8" t="s">
        <v>168</v>
      </c>
      <c r="G22" s="8" t="s">
        <v>169</v>
      </c>
      <c r="H22" s="8" t="s">
        <v>170</v>
      </c>
      <c r="I22" s="8" t="s">
        <v>152</v>
      </c>
      <c r="J22" s="8" t="s">
        <v>171</v>
      </c>
      <c r="K22" s="8" t="s">
        <v>172</v>
      </c>
      <c r="L22" s="8" t="s">
        <v>173</v>
      </c>
      <c r="M22" s="8" t="s">
        <v>174</v>
      </c>
      <c r="N22" s="6"/>
      <c r="P22" s="6"/>
      <c r="Q22" s="99" t="s">
        <v>196</v>
      </c>
      <c r="R22" s="99"/>
      <c r="S22" s="8" t="s">
        <v>179</v>
      </c>
      <c r="T22" s="8" t="s">
        <v>197</v>
      </c>
      <c r="U22" s="6"/>
      <c r="W22" s="6"/>
      <c r="X22" s="198"/>
      <c r="Y22" s="198"/>
      <c r="Z22" s="198"/>
      <c r="AA22" s="198"/>
      <c r="AB22" s="195"/>
      <c r="AC22" s="6"/>
    </row>
    <row r="23" spans="2:29">
      <c r="B23" s="6"/>
      <c r="C23" s="238"/>
      <c r="D23" s="184"/>
      <c r="E23" s="237"/>
      <c r="F23" s="43"/>
      <c r="G23" s="43"/>
      <c r="H23" s="43"/>
      <c r="I23" s="43"/>
      <c r="J23" s="43"/>
      <c r="K23" s="43"/>
      <c r="L23" s="43"/>
      <c r="M23" s="43"/>
      <c r="N23" s="6"/>
      <c r="P23" s="6"/>
      <c r="Q23" s="245" t="s">
        <v>400</v>
      </c>
      <c r="R23" s="198"/>
      <c r="S23" s="43">
        <v>2</v>
      </c>
      <c r="T23" s="43">
        <v>20</v>
      </c>
      <c r="U23" s="6"/>
      <c r="W23" s="6"/>
      <c r="X23" s="196"/>
      <c r="Y23" s="196"/>
      <c r="Z23" s="196"/>
      <c r="AA23" s="196"/>
      <c r="AB23" s="195"/>
      <c r="AC23" s="6"/>
    </row>
    <row r="24" spans="2:29">
      <c r="B24" s="6"/>
      <c r="C24" s="47" t="s">
        <v>143</v>
      </c>
      <c r="D24" s="185"/>
      <c r="E24" s="185"/>
      <c r="F24" s="185"/>
      <c r="G24" s="185"/>
      <c r="H24" s="185"/>
      <c r="I24" s="185"/>
      <c r="J24" s="185"/>
      <c r="K24" s="185"/>
      <c r="L24" s="185"/>
      <c r="M24" s="186"/>
      <c r="N24" s="6"/>
      <c r="P24" s="6"/>
      <c r="Q24" s="245" t="s">
        <v>401</v>
      </c>
      <c r="R24" s="198"/>
      <c r="S24" s="12">
        <v>3</v>
      </c>
      <c r="T24" s="12">
        <v>50</v>
      </c>
      <c r="U24" s="6"/>
      <c r="W24" s="6"/>
      <c r="X24" s="198"/>
      <c r="Y24" s="198"/>
      <c r="Z24" s="198"/>
      <c r="AA24" s="198"/>
      <c r="AB24" s="195"/>
      <c r="AC24" s="6"/>
    </row>
    <row r="25" spans="2:29">
      <c r="B25" s="6"/>
      <c r="C25" s="203" t="s">
        <v>183</v>
      </c>
      <c r="D25" s="49"/>
      <c r="E25" s="187"/>
      <c r="F25" s="187"/>
      <c r="G25" s="187"/>
      <c r="H25" s="187"/>
      <c r="I25" s="187"/>
      <c r="J25" s="187"/>
      <c r="K25" s="188"/>
      <c r="L25" s="49"/>
      <c r="M25" s="50"/>
      <c r="N25" s="6"/>
      <c r="P25" s="6"/>
      <c r="Q25" s="245" t="s">
        <v>402</v>
      </c>
      <c r="R25" s="198"/>
      <c r="S25" s="12">
        <v>5</v>
      </c>
      <c r="T25" s="12">
        <v>20</v>
      </c>
      <c r="U25" s="6"/>
      <c r="W25" s="6"/>
      <c r="X25" s="196"/>
      <c r="Y25" s="196"/>
      <c r="Z25" s="196"/>
      <c r="AA25" s="196"/>
      <c r="AB25" s="195"/>
      <c r="AC25" s="6"/>
    </row>
    <row r="26" spans="2:29">
      <c r="B26" s="6"/>
      <c r="C26" s="203"/>
      <c r="D26" s="49"/>
      <c r="E26" s="187"/>
      <c r="F26" s="187"/>
      <c r="G26" s="187"/>
      <c r="H26" s="187"/>
      <c r="I26" s="187"/>
      <c r="J26" s="187"/>
      <c r="K26" s="188"/>
      <c r="L26" s="49"/>
      <c r="M26" s="50"/>
      <c r="N26" s="6"/>
      <c r="P26" s="6"/>
      <c r="Q26" s="195"/>
      <c r="R26" s="195"/>
      <c r="S26" s="12"/>
      <c r="T26" s="12"/>
      <c r="U26" s="6"/>
      <c r="W26" s="6"/>
      <c r="X26" s="198"/>
      <c r="Y26" s="198"/>
      <c r="Z26" s="198"/>
      <c r="AA26" s="198"/>
      <c r="AB26" s="195"/>
      <c r="AC26" s="6"/>
    </row>
    <row r="27" spans="2:29">
      <c r="B27" s="6"/>
      <c r="C27" s="204"/>
      <c r="D27" s="51"/>
      <c r="E27" s="191"/>
      <c r="F27" s="191"/>
      <c r="G27" s="191"/>
      <c r="H27" s="191"/>
      <c r="I27" s="191"/>
      <c r="J27" s="191"/>
      <c r="K27" s="192"/>
      <c r="L27" s="51"/>
      <c r="M27" s="52"/>
      <c r="N27" s="6"/>
      <c r="P27" s="6"/>
      <c r="Q27" s="195"/>
      <c r="R27" s="195"/>
      <c r="S27" s="12"/>
      <c r="T27" s="12"/>
      <c r="U27" s="6"/>
      <c r="W27" s="6"/>
      <c r="X27" s="196"/>
      <c r="Y27" s="208"/>
      <c r="Z27" s="196"/>
      <c r="AA27" s="196"/>
      <c r="AB27" s="195"/>
      <c r="AC27" s="6"/>
    </row>
    <row r="28" spans="2:29">
      <c r="B28" s="6"/>
      <c r="C28" s="99" t="s">
        <v>166</v>
      </c>
      <c r="D28" s="99"/>
      <c r="E28" s="8" t="s">
        <v>167</v>
      </c>
      <c r="F28" s="8" t="s">
        <v>168</v>
      </c>
      <c r="G28" s="8" t="s">
        <v>169</v>
      </c>
      <c r="H28" s="8" t="s">
        <v>170</v>
      </c>
      <c r="I28" s="8" t="s">
        <v>152</v>
      </c>
      <c r="J28" s="8" t="s">
        <v>171</v>
      </c>
      <c r="K28" s="8" t="s">
        <v>172</v>
      </c>
      <c r="L28" s="8" t="s">
        <v>173</v>
      </c>
      <c r="M28" s="8" t="s">
        <v>174</v>
      </c>
      <c r="N28" s="6"/>
      <c r="P28" s="6"/>
      <c r="Q28" s="195"/>
      <c r="R28" s="195"/>
      <c r="S28" s="12"/>
      <c r="T28" s="12"/>
      <c r="U28" s="6"/>
      <c r="W28" s="6"/>
      <c r="X28" s="198"/>
      <c r="Y28" s="209"/>
      <c r="Z28" s="198"/>
      <c r="AA28" s="198"/>
      <c r="AB28" s="195"/>
      <c r="AC28" s="6"/>
    </row>
    <row r="29" spans="2:29">
      <c r="B29" s="6"/>
      <c r="C29" s="183"/>
      <c r="D29" s="184"/>
      <c r="E29" s="46"/>
      <c r="F29" s="43"/>
      <c r="G29" s="43"/>
      <c r="H29" s="43"/>
      <c r="I29" s="43"/>
      <c r="J29" s="43"/>
      <c r="K29" s="43"/>
      <c r="L29" s="43"/>
      <c r="M29" s="43"/>
      <c r="N29" s="6"/>
      <c r="P29" s="6"/>
      <c r="Q29" s="195"/>
      <c r="R29" s="195"/>
      <c r="S29" s="12"/>
      <c r="T29" s="12"/>
      <c r="U29" s="6"/>
      <c r="W29" s="6"/>
      <c r="X29" s="195"/>
      <c r="Y29" s="195"/>
      <c r="Z29" s="195"/>
      <c r="AA29" s="195"/>
      <c r="AB29" s="195"/>
      <c r="AC29" s="6"/>
    </row>
    <row r="30" spans="2:29">
      <c r="B30" s="21"/>
      <c r="C30" s="47" t="s">
        <v>143</v>
      </c>
      <c r="D30" s="185"/>
      <c r="E30" s="185"/>
      <c r="F30" s="185"/>
      <c r="G30" s="185"/>
      <c r="H30" s="185"/>
      <c r="I30" s="185"/>
      <c r="J30" s="185"/>
      <c r="K30" s="185"/>
      <c r="L30" s="185"/>
      <c r="M30" s="186"/>
      <c r="N30" s="53"/>
      <c r="P30" s="6"/>
      <c r="Q30" s="195"/>
      <c r="R30" s="195"/>
      <c r="S30" s="12"/>
      <c r="T30" s="12"/>
      <c r="U30" s="6"/>
      <c r="W30" s="6"/>
      <c r="X30" s="195"/>
      <c r="Y30" s="195"/>
      <c r="Z30" s="195"/>
      <c r="AA30" s="195"/>
      <c r="AB30" s="195"/>
      <c r="AC30" s="6"/>
    </row>
    <row r="31" spans="2:29">
      <c r="B31" s="6"/>
      <c r="C31" s="203" t="s">
        <v>183</v>
      </c>
      <c r="D31" s="49"/>
      <c r="E31" s="187"/>
      <c r="F31" s="187"/>
      <c r="G31" s="187"/>
      <c r="H31" s="187"/>
      <c r="I31" s="187"/>
      <c r="J31" s="187"/>
      <c r="K31" s="188"/>
      <c r="L31" s="49"/>
      <c r="M31" s="50"/>
      <c r="N31" s="6"/>
      <c r="P31" s="6"/>
      <c r="Q31" s="195"/>
      <c r="R31" s="195"/>
      <c r="S31" s="12"/>
      <c r="T31" s="12"/>
      <c r="U31" s="6"/>
      <c r="W31" s="6"/>
      <c r="X31" s="196"/>
      <c r="Y31" s="208"/>
      <c r="Z31" s="196"/>
      <c r="AA31" s="196"/>
      <c r="AB31" s="195"/>
      <c r="AC31" s="6"/>
    </row>
    <row r="32" spans="2:29">
      <c r="B32" s="6"/>
      <c r="C32" s="203"/>
      <c r="D32" s="49"/>
      <c r="E32" s="187"/>
      <c r="F32" s="187"/>
      <c r="G32" s="187"/>
      <c r="H32" s="187"/>
      <c r="I32" s="187"/>
      <c r="J32" s="187"/>
      <c r="K32" s="188"/>
      <c r="L32" s="49"/>
      <c r="M32" s="50"/>
      <c r="N32" s="6"/>
      <c r="P32" s="6"/>
      <c r="Q32" s="195"/>
      <c r="R32" s="196"/>
      <c r="S32" s="42"/>
      <c r="T32" s="12"/>
      <c r="U32" s="6"/>
      <c r="W32" s="6"/>
      <c r="X32" s="198"/>
      <c r="Y32" s="209"/>
      <c r="Z32" s="198"/>
      <c r="AA32" s="198"/>
      <c r="AB32" s="195"/>
      <c r="AC32" s="6"/>
    </row>
    <row r="33" spans="2:29">
      <c r="B33" s="6"/>
      <c r="C33" s="204"/>
      <c r="D33" s="51"/>
      <c r="E33" s="191"/>
      <c r="F33" s="191"/>
      <c r="G33" s="191"/>
      <c r="H33" s="191"/>
      <c r="I33" s="191"/>
      <c r="J33" s="191"/>
      <c r="K33" s="192"/>
      <c r="L33" s="51"/>
      <c r="M33" s="52"/>
      <c r="N33" s="6"/>
      <c r="P33" s="6"/>
      <c r="Q33" s="6"/>
      <c r="R33" s="99" t="s">
        <v>198</v>
      </c>
      <c r="S33" s="99"/>
      <c r="T33" s="54">
        <f>S23*T23+S24*T24+S25*T25+S26*T26+S27*T27+S28*T28+S29*T29+S30*T30+S31*T31+S32*T32</f>
        <v>290</v>
      </c>
      <c r="U33" s="6"/>
      <c r="W33" s="6"/>
      <c r="X33" s="195"/>
      <c r="Y33" s="195"/>
      <c r="Z33" s="195"/>
      <c r="AA33" s="195"/>
      <c r="AB33" s="195"/>
      <c r="AC33" s="6"/>
    </row>
    <row r="34" spans="2:29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6"/>
      <c r="P34" s="6"/>
      <c r="Q34" s="6"/>
      <c r="R34" s="6"/>
      <c r="S34" s="6"/>
      <c r="T34" s="6"/>
      <c r="U34" s="6"/>
      <c r="W34" s="6"/>
      <c r="X34" s="195"/>
      <c r="Y34" s="195"/>
      <c r="Z34" s="195"/>
      <c r="AA34" s="195"/>
      <c r="AB34" s="195"/>
      <c r="AC34" s="6"/>
    </row>
    <row r="35" spans="2:29">
      <c r="W35" s="6"/>
      <c r="X35" s="195"/>
      <c r="Y35" s="195"/>
      <c r="Z35" s="195"/>
      <c r="AA35" s="195"/>
      <c r="AB35" s="195"/>
      <c r="AC35" s="6"/>
    </row>
    <row r="36" spans="2:29">
      <c r="B36" s="3" t="s">
        <v>133</v>
      </c>
      <c r="C36" s="44"/>
      <c r="D36" s="44"/>
      <c r="E36" s="180" t="s">
        <v>199</v>
      </c>
      <c r="F36" s="180"/>
      <c r="G36" s="180"/>
      <c r="H36" s="180"/>
      <c r="I36" s="180"/>
      <c r="J36" s="180"/>
      <c r="K36" s="180"/>
      <c r="L36" s="180"/>
      <c r="M36" s="180"/>
      <c r="N36" s="180"/>
      <c r="W36" s="6"/>
      <c r="X36" s="195"/>
      <c r="Y36" s="195"/>
      <c r="Z36" s="195"/>
      <c r="AA36" s="195"/>
      <c r="AB36" s="195"/>
      <c r="AC36" s="6"/>
    </row>
    <row r="37" spans="2:29"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W37" s="6"/>
      <c r="X37" s="195"/>
      <c r="Y37" s="195"/>
      <c r="Z37" s="195"/>
      <c r="AA37" s="195"/>
      <c r="AB37" s="195"/>
      <c r="AC37" s="6"/>
    </row>
    <row r="38" spans="2:29">
      <c r="B38" s="6"/>
      <c r="C38" s="10" t="s">
        <v>200</v>
      </c>
      <c r="D38" s="10" t="s">
        <v>201</v>
      </c>
      <c r="E38" s="101" t="s">
        <v>202</v>
      </c>
      <c r="F38" s="199"/>
      <c r="G38" s="200" t="s">
        <v>143</v>
      </c>
      <c r="H38" s="201"/>
      <c r="I38" s="202"/>
      <c r="J38" s="10" t="s">
        <v>203</v>
      </c>
      <c r="K38" s="10" t="s">
        <v>204</v>
      </c>
      <c r="L38" s="10" t="s">
        <v>173</v>
      </c>
      <c r="M38" s="10" t="s">
        <v>174</v>
      </c>
      <c r="N38" s="6"/>
      <c r="W38" s="6"/>
      <c r="X38" s="195"/>
      <c r="Y38" s="195"/>
      <c r="Z38" s="195"/>
      <c r="AA38" s="195"/>
      <c r="AB38" s="195"/>
      <c r="AC38" s="6"/>
    </row>
    <row r="39" spans="2:29" ht="30" customHeight="1">
      <c r="B39" s="6"/>
      <c r="C39" s="15" t="s">
        <v>205</v>
      </c>
      <c r="D39" s="244" t="s">
        <v>397</v>
      </c>
      <c r="E39" s="241" t="s">
        <v>395</v>
      </c>
      <c r="F39" s="195"/>
      <c r="G39" s="243" t="s">
        <v>396</v>
      </c>
      <c r="H39" s="207"/>
      <c r="I39" s="207"/>
      <c r="J39" s="12">
        <v>11</v>
      </c>
      <c r="K39" s="12">
        <v>0</v>
      </c>
      <c r="L39" s="12">
        <v>100</v>
      </c>
      <c r="M39" s="12"/>
      <c r="N39" s="6"/>
      <c r="W39" s="6"/>
      <c r="X39" s="12"/>
      <c r="Y39" s="12"/>
      <c r="Z39" s="12"/>
      <c r="AA39" s="12"/>
      <c r="AB39" s="12"/>
      <c r="AC39" s="6"/>
    </row>
    <row r="40" spans="2:29" ht="30" customHeight="1">
      <c r="B40" s="6"/>
      <c r="C40" s="15" t="s">
        <v>206</v>
      </c>
      <c r="D40" s="55"/>
      <c r="E40" s="195"/>
      <c r="F40" s="195"/>
      <c r="G40" s="195"/>
      <c r="H40" s="195"/>
      <c r="I40" s="195"/>
      <c r="J40" s="12"/>
      <c r="K40" s="12"/>
      <c r="L40" s="12"/>
      <c r="M40" s="12"/>
      <c r="N40" s="6"/>
      <c r="W40" s="6"/>
      <c r="X40" s="12"/>
      <c r="Y40" s="12"/>
      <c r="Z40" s="12"/>
      <c r="AA40" s="12"/>
      <c r="AB40" s="12"/>
      <c r="AC40" s="6"/>
    </row>
    <row r="41" spans="2:29" ht="30" customHeight="1">
      <c r="B41" s="6"/>
      <c r="C41" s="15" t="s">
        <v>207</v>
      </c>
      <c r="D41" s="55"/>
      <c r="E41" s="195"/>
      <c r="F41" s="195"/>
      <c r="G41" s="195"/>
      <c r="H41" s="195"/>
      <c r="I41" s="195"/>
      <c r="J41" s="12"/>
      <c r="K41" s="12"/>
      <c r="L41" s="12"/>
      <c r="M41" s="12"/>
      <c r="N41" s="6"/>
      <c r="W41" s="6"/>
      <c r="X41" s="12"/>
      <c r="Y41" s="12"/>
      <c r="Z41" s="12"/>
      <c r="AA41" s="12"/>
      <c r="AB41" s="12"/>
      <c r="AC41" s="6"/>
    </row>
    <row r="42" spans="2:29">
      <c r="B42" s="6"/>
      <c r="C42" s="56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W42" s="6"/>
      <c r="X42" s="12"/>
      <c r="Y42" s="12"/>
      <c r="Z42" s="12"/>
      <c r="AA42" s="12"/>
      <c r="AB42" s="12"/>
      <c r="AC42" s="6"/>
    </row>
    <row r="43" spans="2:29">
      <c r="C43" s="57"/>
      <c r="W43" s="6"/>
      <c r="X43" s="7"/>
      <c r="Y43" s="7"/>
      <c r="Z43" s="7"/>
      <c r="AA43" s="7"/>
      <c r="AB43" s="7"/>
      <c r="AC43" s="6"/>
    </row>
  </sheetData>
  <mergeCells count="166">
    <mergeCell ref="AB27:AB28"/>
    <mergeCell ref="AB29:AB30"/>
    <mergeCell ref="AB31:AB32"/>
    <mergeCell ref="AB33:AB34"/>
    <mergeCell ref="AB35:AB36"/>
    <mergeCell ref="AB37:AB38"/>
    <mergeCell ref="Q11:T12"/>
    <mergeCell ref="AB9:AB10"/>
    <mergeCell ref="AB11:AB12"/>
    <mergeCell ref="AB13:AB14"/>
    <mergeCell ref="AB15:AB16"/>
    <mergeCell ref="AB17:AB18"/>
    <mergeCell ref="AB19:AB20"/>
    <mergeCell ref="AB21:AB22"/>
    <mergeCell ref="AB23:AB24"/>
    <mergeCell ref="AB25:AB26"/>
    <mergeCell ref="Z27:Z28"/>
    <mergeCell ref="Z29:Z30"/>
    <mergeCell ref="Z31:Z32"/>
    <mergeCell ref="Z33:Z34"/>
    <mergeCell ref="Z35:Z36"/>
    <mergeCell ref="Z37:Z38"/>
    <mergeCell ref="AA5:AA6"/>
    <mergeCell ref="AA7:AA8"/>
    <mergeCell ref="AA9:AA10"/>
    <mergeCell ref="AA11:AA12"/>
    <mergeCell ref="AA13:AA14"/>
    <mergeCell ref="AA15:AA16"/>
    <mergeCell ref="AA17:AA18"/>
    <mergeCell ref="AA19:AA20"/>
    <mergeCell ref="AA21:AA22"/>
    <mergeCell ref="AA23:AA24"/>
    <mergeCell ref="AA25:AA26"/>
    <mergeCell ref="AA27:AA28"/>
    <mergeCell ref="AA29:AA30"/>
    <mergeCell ref="AA31:AA32"/>
    <mergeCell ref="AA33:AA34"/>
    <mergeCell ref="AA35:AA36"/>
    <mergeCell ref="AA37:AA38"/>
    <mergeCell ref="Z9:Z10"/>
    <mergeCell ref="Z11:Z12"/>
    <mergeCell ref="Z13:Z14"/>
    <mergeCell ref="Z15:Z16"/>
    <mergeCell ref="Z17:Z18"/>
    <mergeCell ref="Z19:Z20"/>
    <mergeCell ref="Z21:Z22"/>
    <mergeCell ref="Z23:Z24"/>
    <mergeCell ref="Z25:Z26"/>
    <mergeCell ref="X27:X28"/>
    <mergeCell ref="X29:X30"/>
    <mergeCell ref="X31:X32"/>
    <mergeCell ref="X33:X34"/>
    <mergeCell ref="X35:X36"/>
    <mergeCell ref="X37:X38"/>
    <mergeCell ref="Y5:Y6"/>
    <mergeCell ref="Y7:Y8"/>
    <mergeCell ref="Y9:Y10"/>
    <mergeCell ref="Y11:Y12"/>
    <mergeCell ref="Y13:Y14"/>
    <mergeCell ref="Y15:Y16"/>
    <mergeCell ref="Y17:Y18"/>
    <mergeCell ref="Y19:Y20"/>
    <mergeCell ref="Y21:Y22"/>
    <mergeCell ref="Y23:Y24"/>
    <mergeCell ref="Y25:Y26"/>
    <mergeCell ref="Y27:Y28"/>
    <mergeCell ref="Y29:Y30"/>
    <mergeCell ref="Y31:Y32"/>
    <mergeCell ref="Y33:Y34"/>
    <mergeCell ref="Y35:Y36"/>
    <mergeCell ref="Y37:Y38"/>
    <mergeCell ref="X9:X10"/>
    <mergeCell ref="X11:X12"/>
    <mergeCell ref="X13:X14"/>
    <mergeCell ref="X15:X16"/>
    <mergeCell ref="X17:X18"/>
    <mergeCell ref="X19:X20"/>
    <mergeCell ref="X21:X22"/>
    <mergeCell ref="X23:X24"/>
    <mergeCell ref="X25:X26"/>
    <mergeCell ref="E38:F38"/>
    <mergeCell ref="G38:I38"/>
    <mergeCell ref="E39:F39"/>
    <mergeCell ref="G39:I39"/>
    <mergeCell ref="E40:F40"/>
    <mergeCell ref="G40:I40"/>
    <mergeCell ref="E41:F41"/>
    <mergeCell ref="G41:I41"/>
    <mergeCell ref="C7:C9"/>
    <mergeCell ref="C13:C15"/>
    <mergeCell ref="C19:C21"/>
    <mergeCell ref="C25:C27"/>
    <mergeCell ref="C31:C33"/>
    <mergeCell ref="D30:M30"/>
    <mergeCell ref="Q30:R30"/>
    <mergeCell ref="E31:K31"/>
    <mergeCell ref="Q31:R31"/>
    <mergeCell ref="E32:K32"/>
    <mergeCell ref="Q32:R32"/>
    <mergeCell ref="E33:K33"/>
    <mergeCell ref="R33:S33"/>
    <mergeCell ref="E36:N36"/>
    <mergeCell ref="E25:K25"/>
    <mergeCell ref="Q25:R25"/>
    <mergeCell ref="E26:K26"/>
    <mergeCell ref="Q26:R26"/>
    <mergeCell ref="E27:K27"/>
    <mergeCell ref="Q27:R27"/>
    <mergeCell ref="C28:D28"/>
    <mergeCell ref="Q28:R28"/>
    <mergeCell ref="C29:D29"/>
    <mergeCell ref="Q29:R29"/>
    <mergeCell ref="E21:K21"/>
    <mergeCell ref="Q21:R21"/>
    <mergeCell ref="S21:T21"/>
    <mergeCell ref="C22:D22"/>
    <mergeCell ref="Q22:R22"/>
    <mergeCell ref="C23:D23"/>
    <mergeCell ref="Q23:R23"/>
    <mergeCell ref="D24:M24"/>
    <mergeCell ref="Q24:R24"/>
    <mergeCell ref="D18:M18"/>
    <mergeCell ref="Q18:R18"/>
    <mergeCell ref="S18:T18"/>
    <mergeCell ref="E19:K19"/>
    <mergeCell ref="Q19:R19"/>
    <mergeCell ref="S19:T19"/>
    <mergeCell ref="E20:K20"/>
    <mergeCell ref="Q20:R20"/>
    <mergeCell ref="S20:T20"/>
    <mergeCell ref="E14:K14"/>
    <mergeCell ref="S14:U14"/>
    <mergeCell ref="E15:K15"/>
    <mergeCell ref="C16:D16"/>
    <mergeCell ref="Q16:R16"/>
    <mergeCell ref="S16:T16"/>
    <mergeCell ref="C17:D17"/>
    <mergeCell ref="Q17:R17"/>
    <mergeCell ref="S17:T17"/>
    <mergeCell ref="E8:K8"/>
    <mergeCell ref="S8:T8"/>
    <mergeCell ref="E9:K9"/>
    <mergeCell ref="S9:T9"/>
    <mergeCell ref="C10:D10"/>
    <mergeCell ref="S10:T10"/>
    <mergeCell ref="C11:D11"/>
    <mergeCell ref="D12:M12"/>
    <mergeCell ref="E13:K13"/>
    <mergeCell ref="Q6:Q10"/>
    <mergeCell ref="E2:N2"/>
    <mergeCell ref="Y2:AC2"/>
    <mergeCell ref="C4:D4"/>
    <mergeCell ref="S4:T4"/>
    <mergeCell ref="C5:D5"/>
    <mergeCell ref="S5:T5"/>
    <mergeCell ref="D6:M6"/>
    <mergeCell ref="S6:T6"/>
    <mergeCell ref="E7:K7"/>
    <mergeCell ref="S7:T7"/>
    <mergeCell ref="Q4:Q5"/>
    <mergeCell ref="X5:X6"/>
    <mergeCell ref="X7:X8"/>
    <mergeCell ref="Z5:Z6"/>
    <mergeCell ref="Z7:Z8"/>
    <mergeCell ref="AB5:AB6"/>
    <mergeCell ref="AB7:AB8"/>
  </mergeCells>
  <phoneticPr fontId="2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O56"/>
  <sheetViews>
    <sheetView workbookViewId="0">
      <selection activeCell="H13" sqref="H13"/>
    </sheetView>
  </sheetViews>
  <sheetFormatPr defaultColWidth="8.90625" defaultRowHeight="14"/>
  <cols>
    <col min="1" max="1" width="8.90625" style="1"/>
    <col min="2" max="2" width="1.7265625" style="1" customWidth="1"/>
    <col min="3" max="3" width="19.453125" style="1" customWidth="1"/>
    <col min="4" max="4" width="4.7265625" style="1" customWidth="1"/>
    <col min="5" max="5" width="14" style="1" customWidth="1"/>
    <col min="6" max="6" width="8.90625" style="1"/>
    <col min="7" max="7" width="30.7265625" style="1" customWidth="1"/>
    <col min="8" max="8" width="8.90625" style="1"/>
    <col min="9" max="9" width="16.7265625" style="1" customWidth="1"/>
    <col min="10" max="10" width="16.90625" style="1" customWidth="1"/>
    <col min="11" max="11" width="1.7265625" style="1" customWidth="1"/>
    <col min="12" max="12" width="4.7265625" style="1" customWidth="1"/>
    <col min="13" max="13" width="1.7265625" style="1" customWidth="1"/>
    <col min="14" max="15" width="8.90625" style="1"/>
    <col min="16" max="16" width="12.7265625" style="1" customWidth="1"/>
    <col min="17" max="21" width="8.90625" style="1"/>
    <col min="22" max="22" width="12.7265625" style="1" customWidth="1"/>
    <col min="23" max="24" width="8.90625" style="1"/>
    <col min="25" max="25" width="1.7265625" style="1" customWidth="1"/>
    <col min="26" max="26" width="4.7265625" style="1" customWidth="1"/>
    <col min="27" max="27" width="1.7265625" style="1" customWidth="1"/>
    <col min="28" max="28" width="8.90625" style="1" customWidth="1"/>
    <col min="29" max="29" width="12.7265625" style="1" customWidth="1"/>
    <col min="30" max="32" width="8.90625" style="1" customWidth="1"/>
    <col min="33" max="33" width="1.7265625" style="1" customWidth="1"/>
    <col min="34" max="37" width="8.90625" style="1" customWidth="1"/>
    <col min="38" max="16384" width="8.90625" style="1"/>
  </cols>
  <sheetData>
    <row r="2" spans="2:41">
      <c r="B2" s="3" t="s">
        <v>208</v>
      </c>
      <c r="C2" s="18"/>
      <c r="D2" s="18"/>
      <c r="E2" s="180" t="s">
        <v>209</v>
      </c>
      <c r="F2" s="180"/>
      <c r="G2" s="180"/>
      <c r="H2" s="180"/>
      <c r="I2" s="180"/>
      <c r="J2" s="180"/>
      <c r="K2" s="180"/>
      <c r="M2" s="3" t="s">
        <v>210</v>
      </c>
      <c r="N2" s="18"/>
      <c r="O2" s="18"/>
      <c r="P2" s="180" t="s">
        <v>211</v>
      </c>
      <c r="Q2" s="180"/>
      <c r="R2" s="180"/>
      <c r="S2" s="180"/>
      <c r="T2" s="180"/>
      <c r="U2" s="180"/>
      <c r="V2" s="180"/>
      <c r="W2" s="180"/>
      <c r="X2" s="180"/>
      <c r="Y2" s="180"/>
      <c r="AA2" s="3" t="s">
        <v>212</v>
      </c>
      <c r="AB2" s="18"/>
      <c r="AC2" s="18"/>
      <c r="AD2" s="180" t="s">
        <v>211</v>
      </c>
      <c r="AE2" s="180"/>
      <c r="AF2" s="180"/>
      <c r="AG2" s="180"/>
    </row>
    <row r="3" spans="2:41" ht="10" customHeight="1">
      <c r="B3" s="6"/>
      <c r="C3" s="6"/>
      <c r="D3" s="6"/>
      <c r="E3" s="6"/>
      <c r="F3" s="6"/>
      <c r="G3" s="6"/>
      <c r="H3" s="6"/>
      <c r="I3" s="6"/>
      <c r="J3" s="6"/>
      <c r="K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AA3" s="28"/>
      <c r="AB3" s="28"/>
      <c r="AC3" s="28"/>
      <c r="AD3" s="28"/>
      <c r="AE3" s="28"/>
      <c r="AF3" s="28"/>
      <c r="AG3" s="28"/>
      <c r="AH3" s="29"/>
      <c r="AI3" s="29"/>
      <c r="AJ3" s="29"/>
      <c r="AK3" s="29"/>
      <c r="AL3" s="29"/>
      <c r="AM3" s="29"/>
      <c r="AN3" s="29"/>
      <c r="AO3" s="29"/>
    </row>
    <row r="4" spans="2:41">
      <c r="B4" s="6"/>
      <c r="C4" s="6"/>
      <c r="D4" s="6"/>
      <c r="E4" s="6"/>
      <c r="F4" s="6"/>
      <c r="G4" s="214"/>
      <c r="H4" s="8" t="s">
        <v>213</v>
      </c>
      <c r="I4" s="8" t="s">
        <v>214</v>
      </c>
      <c r="J4" s="8" t="s">
        <v>215</v>
      </c>
      <c r="K4" s="6"/>
      <c r="M4" s="6"/>
      <c r="N4" s="8" t="s">
        <v>129</v>
      </c>
      <c r="O4" s="8" t="s">
        <v>216</v>
      </c>
      <c r="P4" s="8" t="s">
        <v>217</v>
      </c>
      <c r="Q4" s="99" t="s">
        <v>218</v>
      </c>
      <c r="R4" s="99"/>
      <c r="S4" s="99"/>
      <c r="T4" s="8" t="s">
        <v>219</v>
      </c>
      <c r="U4" s="225" t="s">
        <v>220</v>
      </c>
      <c r="V4" s="225"/>
      <c r="W4" s="225"/>
      <c r="X4" s="225"/>
      <c r="Y4" s="6"/>
      <c r="AA4" s="28"/>
      <c r="AB4" s="10" t="s">
        <v>137</v>
      </c>
      <c r="AC4" s="10" t="s">
        <v>221</v>
      </c>
      <c r="AD4" s="10" t="s">
        <v>104</v>
      </c>
      <c r="AE4" s="205" t="s">
        <v>212</v>
      </c>
      <c r="AF4" s="205"/>
      <c r="AG4" s="28"/>
      <c r="AH4" s="29"/>
      <c r="AI4" s="29"/>
      <c r="AJ4" s="29"/>
      <c r="AK4" s="29"/>
      <c r="AL4" s="29"/>
      <c r="AM4" s="29"/>
      <c r="AN4" s="29"/>
      <c r="AO4" s="29"/>
    </row>
    <row r="5" spans="2:41">
      <c r="B5" s="6"/>
      <c r="C5" s="6"/>
      <c r="D5" s="6"/>
      <c r="E5" s="6"/>
      <c r="F5" s="6"/>
      <c r="G5" s="214"/>
      <c r="H5" s="30">
        <f>SUM(H7:H55)</f>
        <v>1400</v>
      </c>
      <c r="I5" s="30">
        <f>SUM(I7:I55)</f>
        <v>25</v>
      </c>
      <c r="J5" s="30">
        <f>SUM(J7:J55)</f>
        <v>6</v>
      </c>
      <c r="K5" s="6"/>
      <c r="M5" s="6"/>
      <c r="N5" s="215">
        <f>人物卡!K30</f>
        <v>0</v>
      </c>
      <c r="O5" s="218">
        <f>人物卡!O30</f>
        <v>40</v>
      </c>
      <c r="P5" s="218" t="str">
        <f>IF(N5=0,"致命伤",IF(N5&lt;O5,IF(N5&lt;O5/2,"重伤","轻伤"),"健康"))</f>
        <v>致命伤</v>
      </c>
      <c r="Q5" s="223" t="str">
        <f>IF($P$5="健康","无",IF($P$5="轻伤","无",IF($P$5="重伤","所有动作检定-2",IF($P$5="致命伤","所有动作的检定 -4，移速属性 -6（最低剩余 1）",2))))</f>
        <v>所有动作的检定 -4，移速属性 -6（最低剩余 1）</v>
      </c>
      <c r="R5" s="224"/>
      <c r="S5" s="224"/>
      <c r="T5" s="218" t="str" cm="1">
        <f t="array" ref="T5">IF($P$5="健康","无",IF($P$5="轻伤","10",IF($P$5="重伤","13",IF($P$5="致命伤","15",_xleta.XIRR))))</f>
        <v>15</v>
      </c>
      <c r="U5" s="225"/>
      <c r="V5" s="225"/>
      <c r="W5" s="225"/>
      <c r="X5" s="225"/>
      <c r="Y5" s="6"/>
      <c r="AA5" s="28"/>
      <c r="AB5" s="31">
        <f>人物卡!K32</f>
        <v>55</v>
      </c>
      <c r="AC5" s="31">
        <f>人物卡!O32</f>
        <v>74</v>
      </c>
      <c r="AD5" s="32">
        <f>人物卡!P22</f>
        <v>5</v>
      </c>
      <c r="AE5" s="141" t="str">
        <f>IF(AD5&lt;0,"严重赛博精神病",IF(AD5=0,"赛博精神病",IF(AD5=1,"分离性精神障碍",IF(AD5=2,"边缘分离性精神障碍","健康"))))</f>
        <v>健康</v>
      </c>
      <c r="AF5" s="141"/>
      <c r="AG5" s="34"/>
      <c r="AH5" s="35"/>
      <c r="AI5" s="29"/>
      <c r="AJ5" s="29"/>
      <c r="AK5" s="29"/>
      <c r="AL5" s="29"/>
      <c r="AM5" s="29"/>
      <c r="AN5" s="29"/>
      <c r="AO5" s="29"/>
    </row>
    <row r="6" spans="2:41">
      <c r="B6" s="6"/>
      <c r="C6" s="8" t="s">
        <v>222</v>
      </c>
      <c r="D6" s="8" t="s">
        <v>223</v>
      </c>
      <c r="E6" s="8" t="s">
        <v>224</v>
      </c>
      <c r="F6" s="8" t="s">
        <v>225</v>
      </c>
      <c r="G6" s="8" t="s">
        <v>226</v>
      </c>
      <c r="H6" s="8" t="s">
        <v>192</v>
      </c>
      <c r="I6" s="8" t="s">
        <v>227</v>
      </c>
      <c r="J6" s="8" t="s">
        <v>228</v>
      </c>
      <c r="K6" s="6"/>
      <c r="M6" s="6"/>
      <c r="N6" s="216"/>
      <c r="O6" s="215"/>
      <c r="P6" s="215"/>
      <c r="Q6" s="223"/>
      <c r="R6" s="224"/>
      <c r="S6" s="224"/>
      <c r="T6" s="215"/>
      <c r="U6" s="225"/>
      <c r="V6" s="225"/>
      <c r="W6" s="225"/>
      <c r="X6" s="225"/>
      <c r="Y6" s="6"/>
      <c r="AA6" s="28"/>
      <c r="AB6" s="206" t="s">
        <v>229</v>
      </c>
      <c r="AC6" s="206"/>
      <c r="AD6" s="211"/>
      <c r="AE6" s="141"/>
      <c r="AF6" s="141"/>
      <c r="AG6" s="34"/>
      <c r="AH6" s="35"/>
      <c r="AI6" s="29"/>
      <c r="AJ6" s="29"/>
      <c r="AK6" s="29"/>
      <c r="AL6" s="29"/>
      <c r="AM6" s="29"/>
      <c r="AN6" s="29"/>
      <c r="AO6" s="29"/>
    </row>
    <row r="7" spans="2:41">
      <c r="B7" s="6"/>
      <c r="C7" s="246" t="s">
        <v>404</v>
      </c>
      <c r="D7" s="2"/>
      <c r="E7" s="2"/>
      <c r="F7" s="246" t="s">
        <v>405</v>
      </c>
      <c r="G7" s="246" t="s">
        <v>406</v>
      </c>
      <c r="H7" s="2">
        <v>100</v>
      </c>
      <c r="I7" s="2">
        <v>0</v>
      </c>
      <c r="J7" s="2">
        <v>0</v>
      </c>
      <c r="K7" s="6"/>
      <c r="M7" s="6"/>
      <c r="N7" s="206" t="s">
        <v>231</v>
      </c>
      <c r="O7" s="206"/>
      <c r="P7" s="206"/>
      <c r="Q7" s="206"/>
      <c r="R7" s="206"/>
      <c r="S7" s="206"/>
      <c r="T7" s="99"/>
      <c r="U7" s="99"/>
      <c r="V7" s="99"/>
      <c r="W7" s="99"/>
      <c r="X7" s="99"/>
      <c r="Y7" s="6"/>
      <c r="AA7" s="28"/>
      <c r="AB7" s="205" t="s">
        <v>232</v>
      </c>
      <c r="AC7" s="205"/>
      <c r="AD7" s="36" t="s">
        <v>233</v>
      </c>
      <c r="AE7" s="28"/>
      <c r="AF7" s="37"/>
      <c r="AG7" s="34"/>
      <c r="AH7" s="35"/>
      <c r="AI7" s="29"/>
      <c r="AJ7" s="29"/>
      <c r="AK7" s="29"/>
      <c r="AL7" s="29"/>
      <c r="AM7" s="29"/>
      <c r="AN7" s="29"/>
      <c r="AO7" s="29"/>
    </row>
    <row r="8" spans="2:41">
      <c r="B8" s="6"/>
      <c r="C8" s="246" t="s">
        <v>407</v>
      </c>
      <c r="D8" s="2"/>
      <c r="E8" s="2"/>
      <c r="F8" s="246" t="s">
        <v>408</v>
      </c>
      <c r="G8" s="247" t="s">
        <v>410</v>
      </c>
      <c r="H8" s="2">
        <v>1000</v>
      </c>
      <c r="I8" s="2">
        <v>14</v>
      </c>
      <c r="J8" s="2">
        <v>4</v>
      </c>
      <c r="K8" s="6"/>
      <c r="M8" s="6"/>
      <c r="N8" s="10" t="s">
        <v>234</v>
      </c>
      <c r="O8" s="10" t="s">
        <v>235</v>
      </c>
      <c r="P8" s="10" t="s">
        <v>147</v>
      </c>
      <c r="Q8" s="205" t="s">
        <v>218</v>
      </c>
      <c r="R8" s="205"/>
      <c r="S8" s="205"/>
      <c r="T8" s="205"/>
      <c r="U8" s="205"/>
      <c r="V8" s="10" t="s">
        <v>236</v>
      </c>
      <c r="W8" s="205" t="s">
        <v>237</v>
      </c>
      <c r="X8" s="205"/>
      <c r="Y8" s="6"/>
      <c r="AA8" s="28"/>
      <c r="AB8" s="141"/>
      <c r="AC8" s="141"/>
      <c r="AD8" s="33"/>
      <c r="AE8" s="28"/>
      <c r="AF8" s="37"/>
      <c r="AG8" s="34"/>
      <c r="AH8" s="35"/>
      <c r="AI8" s="29"/>
      <c r="AJ8" s="29"/>
      <c r="AK8" s="29"/>
      <c r="AL8" s="29"/>
      <c r="AM8" s="29"/>
      <c r="AN8" s="29"/>
      <c r="AO8" s="29"/>
    </row>
    <row r="9" spans="2:41" ht="28">
      <c r="B9" s="6"/>
      <c r="C9" s="246" t="s">
        <v>409</v>
      </c>
      <c r="D9" s="2"/>
      <c r="E9" s="2"/>
      <c r="F9" s="246" t="s">
        <v>408</v>
      </c>
      <c r="G9" s="247" t="s">
        <v>412</v>
      </c>
      <c r="H9" s="2">
        <v>300</v>
      </c>
      <c r="I9" s="2">
        <v>11</v>
      </c>
      <c r="J9" s="2">
        <v>2</v>
      </c>
      <c r="K9" s="6"/>
      <c r="M9" s="6"/>
      <c r="N9" s="195" t="s">
        <v>238</v>
      </c>
      <c r="O9" s="216">
        <v>2</v>
      </c>
      <c r="P9" s="219" t="s">
        <v>239</v>
      </c>
      <c r="Q9" s="221" t="s">
        <v>240</v>
      </c>
      <c r="R9" s="221"/>
      <c r="S9" s="221"/>
      <c r="T9" s="221"/>
      <c r="U9" s="221"/>
      <c r="V9" s="219" t="s">
        <v>241</v>
      </c>
      <c r="W9" s="219" t="s">
        <v>242</v>
      </c>
      <c r="X9" s="219"/>
      <c r="Y9" s="6"/>
      <c r="AA9" s="28"/>
      <c r="AB9" s="141"/>
      <c r="AC9" s="141"/>
      <c r="AD9" s="33"/>
      <c r="AE9" s="28"/>
      <c r="AF9" s="37"/>
      <c r="AG9" s="34"/>
      <c r="AH9" s="35"/>
      <c r="AI9" s="29"/>
      <c r="AJ9" s="29"/>
      <c r="AK9" s="29"/>
      <c r="AL9" s="29"/>
      <c r="AM9" s="29"/>
      <c r="AN9" s="29"/>
      <c r="AO9" s="29"/>
    </row>
    <row r="10" spans="2:41">
      <c r="B10" s="6"/>
      <c r="C10" s="2"/>
      <c r="D10" s="2"/>
      <c r="E10" s="2"/>
      <c r="F10" s="2"/>
      <c r="G10" s="2"/>
      <c r="H10" s="2"/>
      <c r="I10" s="2"/>
      <c r="J10" s="2"/>
      <c r="K10" s="6"/>
      <c r="M10" s="6"/>
      <c r="N10" s="195"/>
      <c r="O10" s="216"/>
      <c r="P10" s="219"/>
      <c r="Q10" s="221"/>
      <c r="R10" s="221"/>
      <c r="S10" s="221"/>
      <c r="T10" s="221"/>
      <c r="U10" s="221"/>
      <c r="V10" s="219"/>
      <c r="W10" s="219"/>
      <c r="X10" s="219"/>
      <c r="Y10" s="6"/>
      <c r="AA10" s="28"/>
      <c r="AB10" s="141"/>
      <c r="AC10" s="141"/>
      <c r="AD10" s="33"/>
      <c r="AE10" s="28"/>
      <c r="AF10" s="37"/>
      <c r="AG10" s="34"/>
      <c r="AH10" s="35"/>
      <c r="AI10" s="29"/>
      <c r="AJ10" s="29"/>
      <c r="AK10" s="29"/>
      <c r="AL10" s="29"/>
      <c r="AM10" s="29"/>
      <c r="AN10" s="29"/>
      <c r="AO10" s="29"/>
    </row>
    <row r="11" spans="2:41">
      <c r="B11" s="6"/>
      <c r="C11" s="2"/>
      <c r="D11" s="2"/>
      <c r="E11" s="2"/>
      <c r="F11" s="2"/>
      <c r="G11" s="27"/>
      <c r="H11" s="2"/>
      <c r="I11" s="2"/>
      <c r="J11" s="2"/>
      <c r="K11" s="6"/>
      <c r="M11" s="6"/>
      <c r="N11" s="195" t="s">
        <v>238</v>
      </c>
      <c r="O11" s="216">
        <v>3</v>
      </c>
      <c r="P11" s="219" t="s">
        <v>243</v>
      </c>
      <c r="Q11" s="221" t="s">
        <v>244</v>
      </c>
      <c r="R11" s="221"/>
      <c r="S11" s="221"/>
      <c r="T11" s="221"/>
      <c r="U11" s="221"/>
      <c r="V11" s="219" t="s">
        <v>241</v>
      </c>
      <c r="W11" s="219" t="s">
        <v>242</v>
      </c>
      <c r="X11" s="219"/>
      <c r="Y11" s="6"/>
      <c r="AA11" s="28"/>
      <c r="AB11" s="212"/>
      <c r="AC11" s="212"/>
      <c r="AD11" s="38"/>
      <c r="AE11" s="28"/>
      <c r="AF11" s="37"/>
      <c r="AG11" s="34"/>
      <c r="AH11" s="35"/>
      <c r="AI11" s="29"/>
      <c r="AJ11" s="29"/>
      <c r="AK11" s="29"/>
      <c r="AL11" s="29"/>
      <c r="AM11" s="29"/>
      <c r="AN11" s="29"/>
      <c r="AO11" s="29"/>
    </row>
    <row r="12" spans="2:41">
      <c r="B12" s="6"/>
      <c r="C12" s="2"/>
      <c r="D12" s="2"/>
      <c r="E12" s="2"/>
      <c r="F12" s="2"/>
      <c r="G12" s="2"/>
      <c r="H12" s="2"/>
      <c r="I12" s="2"/>
      <c r="J12" s="2"/>
      <c r="K12" s="6"/>
      <c r="M12" s="6"/>
      <c r="N12" s="195"/>
      <c r="O12" s="216"/>
      <c r="P12" s="219"/>
      <c r="Q12" s="221"/>
      <c r="R12" s="221"/>
      <c r="S12" s="221"/>
      <c r="T12" s="221"/>
      <c r="U12" s="221"/>
      <c r="V12" s="219"/>
      <c r="W12" s="219"/>
      <c r="X12" s="219"/>
      <c r="Y12" s="6"/>
      <c r="AA12" s="28"/>
      <c r="AB12" s="212"/>
      <c r="AC12" s="212"/>
      <c r="AD12" s="38"/>
      <c r="AE12" s="28"/>
      <c r="AF12" s="37"/>
      <c r="AG12" s="34"/>
      <c r="AH12" s="35"/>
      <c r="AI12" s="29"/>
      <c r="AJ12" s="29"/>
      <c r="AK12" s="29"/>
      <c r="AL12" s="29"/>
      <c r="AM12" s="29"/>
      <c r="AN12" s="29"/>
      <c r="AO12" s="29"/>
    </row>
    <row r="13" spans="2:41">
      <c r="B13" s="6"/>
      <c r="C13" s="2"/>
      <c r="D13" s="2"/>
      <c r="E13" s="2"/>
      <c r="F13" s="2"/>
      <c r="G13" s="2"/>
      <c r="H13" s="2"/>
      <c r="I13" s="2"/>
      <c r="J13" s="2"/>
      <c r="K13" s="6"/>
      <c r="M13" s="6"/>
      <c r="N13" s="195" t="s">
        <v>238</v>
      </c>
      <c r="O13" s="216">
        <v>4</v>
      </c>
      <c r="P13" s="219" t="s">
        <v>245</v>
      </c>
      <c r="Q13" s="221" t="s">
        <v>246</v>
      </c>
      <c r="R13" s="221"/>
      <c r="S13" s="221"/>
      <c r="T13" s="221"/>
      <c r="U13" s="221"/>
      <c r="V13" s="219" t="s">
        <v>247</v>
      </c>
      <c r="W13" s="219" t="s">
        <v>248</v>
      </c>
      <c r="X13" s="219"/>
      <c r="Y13" s="6"/>
      <c r="AA13" s="28"/>
      <c r="AB13" s="212"/>
      <c r="AC13" s="212"/>
      <c r="AD13" s="38"/>
      <c r="AE13" s="28"/>
      <c r="AF13" s="37"/>
      <c r="AG13" s="34"/>
      <c r="AH13" s="35"/>
      <c r="AI13" s="29"/>
      <c r="AJ13" s="29"/>
      <c r="AK13" s="29"/>
      <c r="AL13" s="29"/>
      <c r="AM13" s="29"/>
      <c r="AN13" s="29"/>
      <c r="AO13" s="29"/>
    </row>
    <row r="14" spans="2:41">
      <c r="B14" s="6"/>
      <c r="C14" s="2"/>
      <c r="D14" s="2"/>
      <c r="E14" s="2"/>
      <c r="F14" s="2"/>
      <c r="G14" s="2"/>
      <c r="H14" s="2"/>
      <c r="I14" s="2"/>
      <c r="J14" s="2"/>
      <c r="K14" s="6"/>
      <c r="M14" s="6"/>
      <c r="N14" s="195"/>
      <c r="O14" s="216"/>
      <c r="P14" s="219"/>
      <c r="Q14" s="221"/>
      <c r="R14" s="221"/>
      <c r="S14" s="221"/>
      <c r="T14" s="221"/>
      <c r="U14" s="221"/>
      <c r="V14" s="219"/>
      <c r="W14" s="219"/>
      <c r="X14" s="219"/>
      <c r="Y14" s="6"/>
      <c r="AA14" s="28"/>
      <c r="AB14" s="212"/>
      <c r="AC14" s="212"/>
      <c r="AD14" s="38"/>
      <c r="AE14" s="28"/>
      <c r="AF14" s="37"/>
      <c r="AG14" s="34"/>
      <c r="AH14" s="35"/>
      <c r="AI14" s="29"/>
      <c r="AJ14" s="29"/>
      <c r="AK14" s="29"/>
      <c r="AL14" s="29"/>
      <c r="AM14" s="29"/>
      <c r="AN14" s="29"/>
      <c r="AO14" s="29"/>
    </row>
    <row r="15" spans="2:41">
      <c r="B15" s="6"/>
      <c r="C15" s="2"/>
      <c r="D15" s="2"/>
      <c r="E15" s="2"/>
      <c r="F15" s="2"/>
      <c r="G15" s="2"/>
      <c r="H15" s="2"/>
      <c r="I15" s="2"/>
      <c r="J15" s="2"/>
      <c r="K15" s="6"/>
      <c r="M15" s="6"/>
      <c r="N15" s="195" t="s">
        <v>238</v>
      </c>
      <c r="O15" s="216">
        <v>5</v>
      </c>
      <c r="P15" s="219" t="s">
        <v>249</v>
      </c>
      <c r="Q15" s="221" t="s">
        <v>250</v>
      </c>
      <c r="R15" s="221"/>
      <c r="S15" s="221"/>
      <c r="T15" s="221"/>
      <c r="U15" s="221"/>
      <c r="V15" s="219" t="s">
        <v>251</v>
      </c>
      <c r="W15" s="220" t="s">
        <v>252</v>
      </c>
      <c r="X15" s="220"/>
      <c r="Y15" s="6"/>
      <c r="AA15" s="28"/>
      <c r="AB15" s="212"/>
      <c r="AC15" s="212"/>
      <c r="AD15" s="38"/>
      <c r="AE15" s="28"/>
      <c r="AF15" s="37"/>
      <c r="AG15" s="34"/>
      <c r="AH15" s="35"/>
      <c r="AI15" s="29"/>
      <c r="AJ15" s="29"/>
      <c r="AK15" s="29"/>
      <c r="AL15" s="29"/>
      <c r="AM15" s="29"/>
      <c r="AN15" s="29"/>
      <c r="AO15" s="29"/>
    </row>
    <row r="16" spans="2:41">
      <c r="B16" s="6"/>
      <c r="C16" s="2"/>
      <c r="D16" s="2"/>
      <c r="E16" s="2"/>
      <c r="F16" s="2"/>
      <c r="G16" s="2"/>
      <c r="H16" s="2"/>
      <c r="I16" s="2"/>
      <c r="J16" s="2"/>
      <c r="K16" s="6"/>
      <c r="M16" s="6"/>
      <c r="N16" s="195"/>
      <c r="O16" s="216"/>
      <c r="P16" s="219"/>
      <c r="Q16" s="221"/>
      <c r="R16" s="221"/>
      <c r="S16" s="221"/>
      <c r="T16" s="221"/>
      <c r="U16" s="221"/>
      <c r="V16" s="219"/>
      <c r="W16" s="220"/>
      <c r="X16" s="220"/>
      <c r="Y16" s="6"/>
      <c r="AA16" s="28"/>
      <c r="AB16" s="212"/>
      <c r="AC16" s="212"/>
      <c r="AD16" s="38"/>
      <c r="AE16" s="28"/>
      <c r="AF16" s="37"/>
      <c r="AG16" s="34"/>
      <c r="AH16" s="35"/>
      <c r="AI16" s="29"/>
      <c r="AJ16" s="29"/>
      <c r="AK16" s="29"/>
      <c r="AL16" s="29"/>
      <c r="AM16" s="29"/>
      <c r="AN16" s="29"/>
      <c r="AO16" s="29"/>
    </row>
    <row r="17" spans="2:41">
      <c r="B17" s="6"/>
      <c r="C17" s="2"/>
      <c r="D17" s="2"/>
      <c r="E17" s="2"/>
      <c r="F17" s="2"/>
      <c r="G17" s="2"/>
      <c r="H17" s="2"/>
      <c r="I17" s="2"/>
      <c r="J17" s="2"/>
      <c r="K17" s="6"/>
      <c r="M17" s="6"/>
      <c r="N17" s="195" t="s">
        <v>238</v>
      </c>
      <c r="O17" s="216">
        <v>6</v>
      </c>
      <c r="P17" s="219" t="s">
        <v>253</v>
      </c>
      <c r="Q17" s="221" t="s">
        <v>254</v>
      </c>
      <c r="R17" s="221"/>
      <c r="S17" s="221"/>
      <c r="T17" s="221"/>
      <c r="U17" s="221"/>
      <c r="V17" s="219" t="s">
        <v>251</v>
      </c>
      <c r="W17" s="220" t="s">
        <v>252</v>
      </c>
      <c r="X17" s="220"/>
      <c r="Y17" s="6"/>
      <c r="AA17" s="28"/>
      <c r="AB17" s="28"/>
      <c r="AC17" s="37"/>
      <c r="AD17" s="37"/>
      <c r="AE17" s="28"/>
      <c r="AF17" s="37"/>
      <c r="AG17" s="34"/>
      <c r="AH17" s="35"/>
      <c r="AI17" s="29"/>
      <c r="AJ17" s="29"/>
      <c r="AK17" s="29"/>
      <c r="AL17" s="29"/>
      <c r="AM17" s="29"/>
      <c r="AN17" s="29"/>
      <c r="AO17" s="29"/>
    </row>
    <row r="18" spans="2:41">
      <c r="B18" s="6"/>
      <c r="C18" s="2"/>
      <c r="D18" s="2"/>
      <c r="E18" s="2"/>
      <c r="F18" s="2"/>
      <c r="G18" s="2"/>
      <c r="H18" s="2"/>
      <c r="I18" s="2"/>
      <c r="J18" s="2"/>
      <c r="K18" s="6"/>
      <c r="M18" s="6"/>
      <c r="N18" s="195"/>
      <c r="O18" s="216"/>
      <c r="P18" s="219"/>
      <c r="Q18" s="221"/>
      <c r="R18" s="221"/>
      <c r="S18" s="221"/>
      <c r="T18" s="221"/>
      <c r="U18" s="221"/>
      <c r="V18" s="219"/>
      <c r="W18" s="220"/>
      <c r="X18" s="220"/>
      <c r="Y18" s="6"/>
      <c r="AA18" s="29"/>
      <c r="AB18" s="29"/>
      <c r="AC18" s="39"/>
      <c r="AD18" s="39"/>
      <c r="AE18" s="29"/>
      <c r="AF18" s="39"/>
      <c r="AG18" s="35"/>
      <c r="AH18" s="35"/>
      <c r="AI18" s="29"/>
      <c r="AJ18" s="29"/>
      <c r="AK18" s="29"/>
      <c r="AL18" s="29"/>
      <c r="AM18" s="29"/>
      <c r="AN18" s="29"/>
      <c r="AO18" s="29"/>
    </row>
    <row r="19" spans="2:41">
      <c r="B19" s="6"/>
      <c r="K19" s="6"/>
      <c r="M19" s="6"/>
      <c r="N19" s="195" t="s">
        <v>238</v>
      </c>
      <c r="O19" s="216">
        <v>7</v>
      </c>
      <c r="P19" s="219" t="s">
        <v>255</v>
      </c>
      <c r="Q19" s="221" t="s">
        <v>250</v>
      </c>
      <c r="R19" s="221"/>
      <c r="S19" s="221"/>
      <c r="T19" s="221"/>
      <c r="U19" s="221"/>
      <c r="V19" s="219" t="s">
        <v>256</v>
      </c>
      <c r="W19" s="219" t="s">
        <v>257</v>
      </c>
      <c r="X19" s="219"/>
      <c r="Y19" s="6"/>
      <c r="AA19" s="3" t="s">
        <v>258</v>
      </c>
      <c r="AB19" s="18"/>
      <c r="AC19" s="18"/>
      <c r="AD19" s="39"/>
      <c r="AE19" s="29"/>
      <c r="AF19" s="39"/>
      <c r="AG19" s="35"/>
      <c r="AH19" s="35"/>
      <c r="AI19" s="29"/>
      <c r="AJ19" s="29"/>
      <c r="AK19" s="29"/>
      <c r="AL19" s="29"/>
      <c r="AM19" s="29"/>
      <c r="AN19" s="29"/>
      <c r="AO19" s="29"/>
    </row>
    <row r="20" spans="2:41">
      <c r="B20" s="6"/>
      <c r="K20" s="6"/>
      <c r="M20" s="6"/>
      <c r="N20" s="195"/>
      <c r="O20" s="216"/>
      <c r="P20" s="219"/>
      <c r="Q20" s="221"/>
      <c r="R20" s="221"/>
      <c r="S20" s="221"/>
      <c r="T20" s="221"/>
      <c r="U20" s="221"/>
      <c r="V20" s="219"/>
      <c r="W20" s="219"/>
      <c r="X20" s="219"/>
      <c r="Y20" s="6"/>
      <c r="AA20" s="28"/>
      <c r="AB20" s="28"/>
      <c r="AC20" s="28"/>
      <c r="AD20" s="28"/>
      <c r="AE20" s="28"/>
      <c r="AF20" s="28"/>
      <c r="AG20" s="28"/>
      <c r="AH20" s="29"/>
      <c r="AI20" s="29"/>
      <c r="AJ20" s="29"/>
      <c r="AK20" s="29"/>
      <c r="AL20" s="29"/>
      <c r="AM20" s="29"/>
      <c r="AN20" s="29"/>
      <c r="AO20" s="29"/>
    </row>
    <row r="21" spans="2:41">
      <c r="B21" s="6"/>
      <c r="K21" s="6"/>
      <c r="M21" s="6"/>
      <c r="N21" s="195" t="s">
        <v>238</v>
      </c>
      <c r="O21" s="216">
        <v>8</v>
      </c>
      <c r="P21" s="219" t="s">
        <v>259</v>
      </c>
      <c r="Q21" s="221" t="s">
        <v>260</v>
      </c>
      <c r="R21" s="221"/>
      <c r="S21" s="221"/>
      <c r="T21" s="221"/>
      <c r="U21" s="221"/>
      <c r="V21" s="219" t="s">
        <v>251</v>
      </c>
      <c r="W21" s="220" t="s">
        <v>252</v>
      </c>
      <c r="X21" s="220"/>
      <c r="Y21" s="6"/>
      <c r="AA21" s="28"/>
      <c r="AB21" s="8" t="s">
        <v>261</v>
      </c>
      <c r="AC21" s="8" t="s">
        <v>262</v>
      </c>
      <c r="AD21" s="99" t="s">
        <v>143</v>
      </c>
      <c r="AE21" s="99"/>
      <c r="AF21" s="99"/>
      <c r="AG21" s="28"/>
      <c r="AH21" s="29"/>
      <c r="AI21" s="29"/>
      <c r="AJ21" s="29"/>
      <c r="AK21" s="29"/>
      <c r="AL21" s="29"/>
      <c r="AM21" s="29"/>
      <c r="AN21" s="29"/>
      <c r="AO21" s="29"/>
    </row>
    <row r="22" spans="2:41">
      <c r="B22" s="6"/>
      <c r="K22" s="6"/>
      <c r="M22" s="6"/>
      <c r="N22" s="195"/>
      <c r="O22" s="216"/>
      <c r="P22" s="219"/>
      <c r="Q22" s="221"/>
      <c r="R22" s="221"/>
      <c r="S22" s="221"/>
      <c r="T22" s="221"/>
      <c r="U22" s="221"/>
      <c r="V22" s="219"/>
      <c r="W22" s="220"/>
      <c r="X22" s="220"/>
      <c r="Y22" s="6"/>
      <c r="AA22" s="28"/>
      <c r="AB22" s="40"/>
      <c r="AC22" s="40"/>
      <c r="AD22" s="213"/>
      <c r="AE22" s="213"/>
      <c r="AF22" s="213"/>
      <c r="AG22" s="28"/>
      <c r="AH22" s="29"/>
      <c r="AI22" s="29"/>
      <c r="AJ22" s="29"/>
      <c r="AK22" s="29"/>
      <c r="AL22" s="29"/>
      <c r="AM22" s="29"/>
      <c r="AN22" s="29"/>
      <c r="AO22" s="29"/>
    </row>
    <row r="23" spans="2:41">
      <c r="B23" s="6"/>
      <c r="K23" s="6"/>
      <c r="M23" s="6"/>
      <c r="N23" s="195" t="s">
        <v>238</v>
      </c>
      <c r="O23" s="216">
        <v>9</v>
      </c>
      <c r="P23" s="219" t="s">
        <v>263</v>
      </c>
      <c r="Q23" s="221" t="s">
        <v>264</v>
      </c>
      <c r="R23" s="221"/>
      <c r="S23" s="221"/>
      <c r="T23" s="221"/>
      <c r="U23" s="221"/>
      <c r="V23" s="219" t="s">
        <v>256</v>
      </c>
      <c r="W23" s="219" t="s">
        <v>257</v>
      </c>
      <c r="X23" s="219"/>
      <c r="Y23" s="6"/>
      <c r="AA23" s="28"/>
      <c r="AB23" s="38"/>
      <c r="AC23" s="38"/>
      <c r="AD23" s="212"/>
      <c r="AE23" s="212"/>
      <c r="AF23" s="212"/>
      <c r="AG23" s="28"/>
      <c r="AH23" s="29"/>
      <c r="AI23" s="29"/>
      <c r="AJ23" s="29"/>
      <c r="AK23" s="29"/>
      <c r="AL23" s="29"/>
      <c r="AM23" s="29"/>
      <c r="AN23" s="29"/>
      <c r="AO23" s="29"/>
    </row>
    <row r="24" spans="2:41">
      <c r="B24" s="6"/>
      <c r="K24" s="6"/>
      <c r="M24" s="6"/>
      <c r="N24" s="195"/>
      <c r="O24" s="216"/>
      <c r="P24" s="219"/>
      <c r="Q24" s="221"/>
      <c r="R24" s="221"/>
      <c r="S24" s="221"/>
      <c r="T24" s="221"/>
      <c r="U24" s="221"/>
      <c r="V24" s="219"/>
      <c r="W24" s="219"/>
      <c r="X24" s="219"/>
      <c r="Y24" s="6"/>
      <c r="AA24" s="28"/>
      <c r="AB24" s="38"/>
      <c r="AC24" s="38"/>
      <c r="AD24" s="212"/>
      <c r="AE24" s="212"/>
      <c r="AF24" s="212"/>
      <c r="AG24" s="28"/>
      <c r="AH24" s="29"/>
      <c r="AI24" s="29"/>
      <c r="AJ24" s="29"/>
      <c r="AK24" s="29"/>
      <c r="AL24" s="29"/>
      <c r="AM24" s="29"/>
      <c r="AN24" s="29"/>
      <c r="AO24" s="29"/>
    </row>
    <row r="25" spans="2:41">
      <c r="B25" s="6"/>
      <c r="K25" s="6"/>
      <c r="M25" s="6"/>
      <c r="N25" s="195" t="s">
        <v>238</v>
      </c>
      <c r="O25" s="216">
        <v>10</v>
      </c>
      <c r="P25" s="219" t="s">
        <v>265</v>
      </c>
      <c r="Q25" s="221" t="s">
        <v>266</v>
      </c>
      <c r="R25" s="221"/>
      <c r="S25" s="221"/>
      <c r="T25" s="221"/>
      <c r="U25" s="221"/>
      <c r="V25" s="219" t="s">
        <v>247</v>
      </c>
      <c r="W25" s="219" t="s">
        <v>248</v>
      </c>
      <c r="X25" s="219"/>
      <c r="Y25" s="6"/>
      <c r="AA25" s="28"/>
      <c r="AB25" s="38"/>
      <c r="AC25" s="38"/>
      <c r="AD25" s="212"/>
      <c r="AE25" s="212"/>
      <c r="AF25" s="212"/>
      <c r="AG25" s="28"/>
      <c r="AH25" s="29"/>
      <c r="AI25" s="29"/>
      <c r="AJ25" s="29"/>
      <c r="AK25" s="29"/>
      <c r="AL25" s="29"/>
      <c r="AM25" s="29"/>
      <c r="AN25" s="29"/>
      <c r="AO25" s="29"/>
    </row>
    <row r="26" spans="2:41">
      <c r="B26" s="6"/>
      <c r="K26" s="6"/>
      <c r="M26" s="6"/>
      <c r="N26" s="195"/>
      <c r="O26" s="216"/>
      <c r="P26" s="219"/>
      <c r="Q26" s="221"/>
      <c r="R26" s="221"/>
      <c r="S26" s="221"/>
      <c r="T26" s="221"/>
      <c r="U26" s="221"/>
      <c r="V26" s="219"/>
      <c r="W26" s="219"/>
      <c r="X26" s="219"/>
      <c r="Y26" s="6"/>
      <c r="AA26" s="28"/>
      <c r="AB26" s="38"/>
      <c r="AC26" s="38"/>
      <c r="AD26" s="212"/>
      <c r="AE26" s="212"/>
      <c r="AF26" s="212"/>
      <c r="AG26" s="28"/>
      <c r="AH26" s="29"/>
      <c r="AI26" s="29"/>
      <c r="AJ26" s="29"/>
      <c r="AK26" s="29"/>
      <c r="AL26" s="29"/>
      <c r="AM26" s="29"/>
      <c r="AN26" s="29"/>
      <c r="AO26" s="29"/>
    </row>
    <row r="27" spans="2:41">
      <c r="B27" s="6"/>
      <c r="K27" s="6"/>
      <c r="M27" s="6"/>
      <c r="N27" s="195" t="s">
        <v>238</v>
      </c>
      <c r="O27" s="216">
        <v>11</v>
      </c>
      <c r="P27" s="219" t="s">
        <v>267</v>
      </c>
      <c r="Q27" s="221" t="s">
        <v>268</v>
      </c>
      <c r="R27" s="221"/>
      <c r="S27" s="221"/>
      <c r="T27" s="221"/>
      <c r="U27" s="221"/>
      <c r="V27" s="219" t="s">
        <v>251</v>
      </c>
      <c r="W27" s="219" t="s">
        <v>248</v>
      </c>
      <c r="X27" s="219"/>
      <c r="Y27" s="6"/>
      <c r="AA27" s="28"/>
      <c r="AB27" s="38"/>
      <c r="AC27" s="38"/>
      <c r="AD27" s="212"/>
      <c r="AE27" s="212"/>
      <c r="AF27" s="212"/>
      <c r="AG27" s="28"/>
      <c r="AH27" s="29"/>
      <c r="AI27" s="29"/>
      <c r="AJ27" s="29"/>
      <c r="AK27" s="29"/>
      <c r="AL27" s="29"/>
      <c r="AM27" s="29"/>
      <c r="AN27" s="29"/>
      <c r="AO27" s="29"/>
    </row>
    <row r="28" spans="2:41">
      <c r="B28" s="6"/>
      <c r="K28" s="6"/>
      <c r="M28" s="6"/>
      <c r="N28" s="195"/>
      <c r="O28" s="216"/>
      <c r="P28" s="219"/>
      <c r="Q28" s="221"/>
      <c r="R28" s="221"/>
      <c r="S28" s="221"/>
      <c r="T28" s="221"/>
      <c r="U28" s="221"/>
      <c r="V28" s="219"/>
      <c r="W28" s="219"/>
      <c r="X28" s="219"/>
      <c r="Y28" s="6"/>
      <c r="AA28" s="28"/>
      <c r="AB28" s="38"/>
      <c r="AC28" s="38"/>
      <c r="AD28" s="212"/>
      <c r="AE28" s="212"/>
      <c r="AF28" s="212"/>
      <c r="AG28" s="28"/>
      <c r="AH28" s="29"/>
      <c r="AI28" s="29"/>
      <c r="AJ28" s="29"/>
      <c r="AK28" s="29"/>
      <c r="AL28" s="29"/>
      <c r="AM28" s="29"/>
      <c r="AN28" s="29"/>
      <c r="AO28" s="29"/>
    </row>
    <row r="29" spans="2:41">
      <c r="B29" s="6"/>
      <c r="K29" s="6"/>
      <c r="M29" s="6"/>
      <c r="N29" s="195" t="s">
        <v>238</v>
      </c>
      <c r="O29" s="216">
        <v>12</v>
      </c>
      <c r="P29" s="219" t="s">
        <v>269</v>
      </c>
      <c r="Q29" s="221" t="s">
        <v>270</v>
      </c>
      <c r="R29" s="221"/>
      <c r="S29" s="221"/>
      <c r="T29" s="221"/>
      <c r="U29" s="221"/>
      <c r="V29" s="219" t="s">
        <v>241</v>
      </c>
      <c r="W29" s="219" t="s">
        <v>242</v>
      </c>
      <c r="X29" s="219"/>
      <c r="Y29" s="6"/>
      <c r="AA29" s="28"/>
      <c r="AB29" s="38"/>
      <c r="AC29" s="38"/>
      <c r="AD29" s="212"/>
      <c r="AE29" s="212"/>
      <c r="AF29" s="212"/>
      <c r="AG29" s="28"/>
      <c r="AH29" s="29"/>
      <c r="AI29" s="29"/>
      <c r="AJ29" s="29"/>
      <c r="AK29" s="29"/>
      <c r="AL29" s="29"/>
      <c r="AM29" s="29"/>
      <c r="AN29" s="29"/>
      <c r="AO29" s="29"/>
    </row>
    <row r="30" spans="2:41">
      <c r="B30" s="6"/>
      <c r="K30" s="6"/>
      <c r="M30" s="6"/>
      <c r="N30" s="195"/>
      <c r="O30" s="216"/>
      <c r="P30" s="219"/>
      <c r="Q30" s="221"/>
      <c r="R30" s="221"/>
      <c r="S30" s="221"/>
      <c r="T30" s="221"/>
      <c r="U30" s="221"/>
      <c r="V30" s="219"/>
      <c r="W30" s="219"/>
      <c r="X30" s="219"/>
      <c r="Y30" s="6"/>
      <c r="AA30" s="28"/>
      <c r="AB30" s="38"/>
      <c r="AC30" s="38"/>
      <c r="AD30" s="212"/>
      <c r="AE30" s="212"/>
      <c r="AF30" s="212"/>
      <c r="AG30" s="28"/>
      <c r="AH30" s="29"/>
      <c r="AI30" s="29"/>
      <c r="AJ30" s="29"/>
      <c r="AK30" s="29"/>
      <c r="AL30" s="29"/>
      <c r="AM30" s="29"/>
      <c r="AN30" s="29"/>
      <c r="AO30" s="29"/>
    </row>
    <row r="31" spans="2:41">
      <c r="B31" s="6"/>
      <c r="K31" s="6"/>
      <c r="M31" s="6"/>
      <c r="N31" s="206" t="s">
        <v>271</v>
      </c>
      <c r="O31" s="206"/>
      <c r="P31" s="206"/>
      <c r="Q31" s="206"/>
      <c r="R31" s="206"/>
      <c r="S31" s="99"/>
      <c r="T31" s="99"/>
      <c r="U31" s="99"/>
      <c r="V31" s="99"/>
      <c r="W31" s="99"/>
      <c r="X31" s="99"/>
      <c r="Y31" s="6"/>
      <c r="AA31" s="28"/>
      <c r="AB31" s="38"/>
      <c r="AC31" s="38"/>
      <c r="AD31" s="212"/>
      <c r="AE31" s="212"/>
      <c r="AF31" s="212"/>
      <c r="AG31" s="28"/>
      <c r="AH31" s="29"/>
      <c r="AI31" s="29"/>
      <c r="AJ31" s="29"/>
      <c r="AK31" s="29"/>
      <c r="AL31" s="29"/>
      <c r="AM31" s="29"/>
      <c r="AN31" s="29"/>
      <c r="AO31" s="29"/>
    </row>
    <row r="32" spans="2:41">
      <c r="B32" s="6"/>
      <c r="K32" s="6"/>
      <c r="M32" s="6"/>
      <c r="N32" s="10" t="s">
        <v>234</v>
      </c>
      <c r="O32" s="10" t="s">
        <v>235</v>
      </c>
      <c r="P32" s="10" t="s">
        <v>147</v>
      </c>
      <c r="Q32" s="205" t="s">
        <v>218</v>
      </c>
      <c r="R32" s="205"/>
      <c r="S32" s="205"/>
      <c r="T32" s="205"/>
      <c r="U32" s="205"/>
      <c r="V32" s="10" t="s">
        <v>236</v>
      </c>
      <c r="W32" s="205" t="s">
        <v>237</v>
      </c>
      <c r="X32" s="205"/>
      <c r="Y32" s="6"/>
      <c r="AA32" s="28"/>
      <c r="AB32" s="38"/>
      <c r="AC32" s="38"/>
      <c r="AD32" s="212"/>
      <c r="AE32" s="212"/>
      <c r="AF32" s="212"/>
      <c r="AG32" s="28"/>
      <c r="AH32" s="29"/>
      <c r="AI32" s="29"/>
      <c r="AJ32" s="29"/>
      <c r="AK32" s="29"/>
      <c r="AL32" s="29"/>
      <c r="AM32" s="29"/>
      <c r="AN32" s="29"/>
      <c r="AO32" s="29"/>
    </row>
    <row r="33" spans="2:41">
      <c r="B33" s="6"/>
      <c r="K33" s="6"/>
      <c r="M33" s="6"/>
      <c r="N33" s="195" t="s">
        <v>238</v>
      </c>
      <c r="O33" s="216">
        <v>2</v>
      </c>
      <c r="P33" s="219" t="s">
        <v>272</v>
      </c>
      <c r="Q33" s="221" t="s">
        <v>273</v>
      </c>
      <c r="R33" s="221"/>
      <c r="S33" s="221"/>
      <c r="T33" s="221"/>
      <c r="U33" s="221"/>
      <c r="V33" s="219" t="s">
        <v>241</v>
      </c>
      <c r="W33" s="219" t="s">
        <v>242</v>
      </c>
      <c r="X33" s="219"/>
      <c r="Y33" s="6"/>
      <c r="AA33" s="28"/>
      <c r="AB33" s="38"/>
      <c r="AC33" s="38"/>
      <c r="AD33" s="212"/>
      <c r="AE33" s="212"/>
      <c r="AF33" s="212"/>
      <c r="AG33" s="28"/>
      <c r="AH33" s="29"/>
      <c r="AI33" s="29"/>
      <c r="AJ33" s="29"/>
      <c r="AK33" s="29"/>
      <c r="AL33" s="29"/>
      <c r="AM33" s="29"/>
      <c r="AN33" s="29"/>
      <c r="AO33" s="29"/>
    </row>
    <row r="34" spans="2:41">
      <c r="B34" s="6"/>
      <c r="K34" s="6"/>
      <c r="M34" s="6"/>
      <c r="N34" s="195"/>
      <c r="O34" s="216"/>
      <c r="P34" s="219"/>
      <c r="Q34" s="221"/>
      <c r="R34" s="221"/>
      <c r="S34" s="221"/>
      <c r="T34" s="221"/>
      <c r="U34" s="221"/>
      <c r="V34" s="219"/>
      <c r="W34" s="219"/>
      <c r="X34" s="219"/>
      <c r="Y34" s="6"/>
      <c r="AA34" s="6"/>
      <c r="AB34" s="41"/>
      <c r="AC34" s="24"/>
      <c r="AD34" s="182"/>
      <c r="AE34" s="182"/>
      <c r="AF34" s="182"/>
      <c r="AG34" s="6"/>
    </row>
    <row r="35" spans="2:41">
      <c r="B35" s="6"/>
      <c r="K35" s="6"/>
      <c r="M35" s="6"/>
      <c r="N35" s="195" t="s">
        <v>238</v>
      </c>
      <c r="O35" s="216">
        <v>3</v>
      </c>
      <c r="P35" s="219" t="s">
        <v>274</v>
      </c>
      <c r="Q35" s="221" t="s">
        <v>275</v>
      </c>
      <c r="R35" s="221"/>
      <c r="S35" s="221"/>
      <c r="T35" s="221"/>
      <c r="U35" s="221"/>
      <c r="V35" s="219" t="s">
        <v>241</v>
      </c>
      <c r="W35" s="219" t="s">
        <v>242</v>
      </c>
      <c r="X35" s="219"/>
      <c r="Y35" s="6"/>
      <c r="AA35" s="6"/>
      <c r="AB35" s="41"/>
      <c r="AC35" s="24"/>
      <c r="AD35" s="182"/>
      <c r="AE35" s="182"/>
      <c r="AF35" s="182"/>
      <c r="AG35" s="6"/>
    </row>
    <row r="36" spans="2:41">
      <c r="B36" s="6"/>
      <c r="K36" s="6"/>
      <c r="M36" s="6"/>
      <c r="N36" s="195"/>
      <c r="O36" s="216"/>
      <c r="P36" s="219"/>
      <c r="Q36" s="221"/>
      <c r="R36" s="221"/>
      <c r="S36" s="221"/>
      <c r="T36" s="221"/>
      <c r="U36" s="221"/>
      <c r="V36" s="219"/>
      <c r="W36" s="219"/>
      <c r="X36" s="219"/>
      <c r="Y36" s="6"/>
      <c r="AA36" s="6"/>
      <c r="AB36" s="21"/>
      <c r="AC36" s="6"/>
      <c r="AD36" s="6"/>
      <c r="AE36" s="6"/>
      <c r="AF36" s="6"/>
      <c r="AG36" s="6"/>
    </row>
    <row r="37" spans="2:41">
      <c r="B37" s="6"/>
      <c r="C37" s="8" t="s">
        <v>276</v>
      </c>
      <c r="D37" s="8"/>
      <c r="E37" s="8" t="s">
        <v>178</v>
      </c>
      <c r="F37" s="8"/>
      <c r="G37" s="8" t="s">
        <v>148</v>
      </c>
      <c r="H37" s="8" t="s">
        <v>192</v>
      </c>
      <c r="I37" s="8" t="s">
        <v>277</v>
      </c>
      <c r="J37" s="8"/>
      <c r="K37" s="6"/>
      <c r="M37" s="6"/>
      <c r="N37" s="195" t="s">
        <v>238</v>
      </c>
      <c r="O37" s="216">
        <v>4</v>
      </c>
      <c r="P37" s="219" t="s">
        <v>278</v>
      </c>
      <c r="Q37" s="221" t="s">
        <v>279</v>
      </c>
      <c r="R37" s="221"/>
      <c r="S37" s="221"/>
      <c r="T37" s="221"/>
      <c r="U37" s="221"/>
      <c r="V37" s="219" t="s">
        <v>247</v>
      </c>
      <c r="W37" s="219" t="s">
        <v>280</v>
      </c>
      <c r="X37" s="219"/>
      <c r="Y37" s="6"/>
      <c r="AB37" s="22"/>
    </row>
    <row r="38" spans="2:41">
      <c r="B38" s="6"/>
      <c r="C38" s="2" t="s">
        <v>230</v>
      </c>
      <c r="E38" s="2" t="s">
        <v>230</v>
      </c>
      <c r="G38" s="2" t="s">
        <v>281</v>
      </c>
      <c r="H38" s="2" t="s">
        <v>230</v>
      </c>
      <c r="I38" s="2">
        <v>7</v>
      </c>
      <c r="K38" s="6"/>
      <c r="M38" s="6"/>
      <c r="N38" s="195"/>
      <c r="O38" s="216"/>
      <c r="P38" s="219"/>
      <c r="Q38" s="221"/>
      <c r="R38" s="221"/>
      <c r="S38" s="221"/>
      <c r="T38" s="221"/>
      <c r="U38" s="221"/>
      <c r="V38" s="219"/>
      <c r="W38" s="219"/>
      <c r="X38" s="219"/>
      <c r="Y38" s="6"/>
      <c r="AB38" s="22"/>
    </row>
    <row r="39" spans="2:41">
      <c r="B39" s="6"/>
      <c r="C39" s="2" t="s">
        <v>230</v>
      </c>
      <c r="E39" s="2" t="s">
        <v>230</v>
      </c>
      <c r="G39" s="2" t="s">
        <v>282</v>
      </c>
      <c r="H39" s="2" t="s">
        <v>230</v>
      </c>
      <c r="I39" s="2">
        <v>-7</v>
      </c>
      <c r="K39" s="6"/>
      <c r="M39" s="6"/>
      <c r="N39" s="195" t="s">
        <v>238</v>
      </c>
      <c r="O39" s="216">
        <v>5</v>
      </c>
      <c r="P39" s="219" t="s">
        <v>283</v>
      </c>
      <c r="Q39" s="221" t="s">
        <v>284</v>
      </c>
      <c r="R39" s="221"/>
      <c r="S39" s="221"/>
      <c r="T39" s="221"/>
      <c r="U39" s="221"/>
      <c r="V39" s="219" t="s">
        <v>256</v>
      </c>
      <c r="W39" s="219" t="s">
        <v>257</v>
      </c>
      <c r="X39" s="219"/>
      <c r="Y39" s="6"/>
      <c r="AB39" s="22"/>
    </row>
    <row r="40" spans="2:41">
      <c r="B40" s="6"/>
      <c r="K40" s="6"/>
      <c r="M40" s="6"/>
      <c r="N40" s="195"/>
      <c r="O40" s="216"/>
      <c r="P40" s="219"/>
      <c r="Q40" s="221"/>
      <c r="R40" s="221"/>
      <c r="S40" s="221"/>
      <c r="T40" s="221"/>
      <c r="U40" s="221"/>
      <c r="V40" s="219"/>
      <c r="W40" s="219"/>
      <c r="X40" s="219"/>
      <c r="Y40" s="6"/>
      <c r="AB40" s="22"/>
    </row>
    <row r="41" spans="2:41">
      <c r="B41" s="6"/>
      <c r="K41" s="6"/>
      <c r="M41" s="6"/>
      <c r="N41" s="195" t="s">
        <v>238</v>
      </c>
      <c r="O41" s="216">
        <v>6</v>
      </c>
      <c r="P41" s="219" t="s">
        <v>285</v>
      </c>
      <c r="Q41" s="221" t="s">
        <v>286</v>
      </c>
      <c r="R41" s="221"/>
      <c r="S41" s="221"/>
      <c r="T41" s="221"/>
      <c r="U41" s="221"/>
      <c r="V41" s="219" t="s">
        <v>247</v>
      </c>
      <c r="W41" s="220" t="s">
        <v>252</v>
      </c>
      <c r="X41" s="220"/>
      <c r="Y41" s="6"/>
      <c r="AB41" s="22"/>
    </row>
    <row r="42" spans="2:41">
      <c r="B42" s="6"/>
      <c r="K42" s="6"/>
      <c r="M42" s="6"/>
      <c r="N42" s="195"/>
      <c r="O42" s="216"/>
      <c r="P42" s="219"/>
      <c r="Q42" s="221"/>
      <c r="R42" s="221"/>
      <c r="S42" s="221"/>
      <c r="T42" s="221"/>
      <c r="U42" s="221"/>
      <c r="V42" s="219"/>
      <c r="W42" s="220"/>
      <c r="X42" s="220"/>
      <c r="Y42" s="6"/>
    </row>
    <row r="43" spans="2:41">
      <c r="B43" s="6"/>
      <c r="K43" s="6"/>
      <c r="M43" s="6"/>
      <c r="N43" s="195" t="s">
        <v>238</v>
      </c>
      <c r="O43" s="216">
        <v>7</v>
      </c>
      <c r="P43" s="219" t="s">
        <v>287</v>
      </c>
      <c r="Q43" s="221" t="s">
        <v>288</v>
      </c>
      <c r="R43" s="221"/>
      <c r="S43" s="221"/>
      <c r="T43" s="221"/>
      <c r="U43" s="221"/>
      <c r="V43" s="219" t="s">
        <v>256</v>
      </c>
      <c r="W43" s="219" t="s">
        <v>257</v>
      </c>
      <c r="X43" s="219"/>
      <c r="Y43" s="6"/>
    </row>
    <row r="44" spans="2:41">
      <c r="B44" s="6"/>
      <c r="K44" s="6"/>
      <c r="M44" s="6"/>
      <c r="N44" s="195"/>
      <c r="O44" s="216"/>
      <c r="P44" s="219"/>
      <c r="Q44" s="221"/>
      <c r="R44" s="221"/>
      <c r="S44" s="221"/>
      <c r="T44" s="221"/>
      <c r="U44" s="221"/>
      <c r="V44" s="219"/>
      <c r="W44" s="219"/>
      <c r="X44" s="219"/>
      <c r="Y44" s="6"/>
    </row>
    <row r="45" spans="2:41">
      <c r="B45" s="6"/>
      <c r="K45" s="6"/>
      <c r="M45" s="6"/>
      <c r="N45" s="195" t="s">
        <v>238</v>
      </c>
      <c r="O45" s="216">
        <v>8</v>
      </c>
      <c r="P45" s="219" t="s">
        <v>289</v>
      </c>
      <c r="Q45" s="222" t="s">
        <v>290</v>
      </c>
      <c r="R45" s="221"/>
      <c r="S45" s="221"/>
      <c r="T45" s="221"/>
      <c r="U45" s="221"/>
      <c r="V45" s="219" t="s">
        <v>251</v>
      </c>
      <c r="W45" s="220" t="s">
        <v>291</v>
      </c>
      <c r="X45" s="220"/>
      <c r="Y45" s="6"/>
    </row>
    <row r="46" spans="2:41">
      <c r="B46" s="6"/>
      <c r="K46" s="6"/>
      <c r="M46" s="6"/>
      <c r="N46" s="195"/>
      <c r="O46" s="216"/>
      <c r="P46" s="219"/>
      <c r="Q46" s="221"/>
      <c r="R46" s="221"/>
      <c r="S46" s="221"/>
      <c r="T46" s="221"/>
      <c r="U46" s="221"/>
      <c r="V46" s="219"/>
      <c r="W46" s="220"/>
      <c r="X46" s="220"/>
      <c r="Y46" s="6"/>
    </row>
    <row r="47" spans="2:41">
      <c r="B47" s="6"/>
      <c r="K47" s="6"/>
      <c r="M47" s="6"/>
      <c r="N47" s="195" t="s">
        <v>238</v>
      </c>
      <c r="O47" s="216">
        <v>9</v>
      </c>
      <c r="P47" s="219" t="s">
        <v>292</v>
      </c>
      <c r="Q47" s="221" t="s">
        <v>293</v>
      </c>
      <c r="R47" s="221"/>
      <c r="S47" s="221"/>
      <c r="T47" s="221"/>
      <c r="U47" s="221"/>
      <c r="V47" s="219" t="s">
        <v>247</v>
      </c>
      <c r="W47" s="220" t="s">
        <v>294</v>
      </c>
      <c r="X47" s="220"/>
      <c r="Y47" s="6"/>
    </row>
    <row r="48" spans="2:41">
      <c r="B48" s="6"/>
      <c r="K48" s="6"/>
      <c r="M48" s="6"/>
      <c r="N48" s="195"/>
      <c r="O48" s="216"/>
      <c r="P48" s="219"/>
      <c r="Q48" s="221"/>
      <c r="R48" s="221"/>
      <c r="S48" s="221"/>
      <c r="T48" s="221"/>
      <c r="U48" s="221"/>
      <c r="V48" s="219"/>
      <c r="W48" s="220"/>
      <c r="X48" s="220"/>
      <c r="Y48" s="6"/>
    </row>
    <row r="49" spans="2:25">
      <c r="B49" s="6"/>
      <c r="K49" s="6"/>
      <c r="M49" s="6"/>
      <c r="N49" s="195" t="s">
        <v>238</v>
      </c>
      <c r="O49" s="216">
        <v>10</v>
      </c>
      <c r="P49" s="219" t="s">
        <v>295</v>
      </c>
      <c r="Q49" s="221" t="s">
        <v>296</v>
      </c>
      <c r="R49" s="221"/>
      <c r="S49" s="221"/>
      <c r="T49" s="221"/>
      <c r="U49" s="221"/>
      <c r="V49" s="219" t="s">
        <v>251</v>
      </c>
      <c r="W49" s="219" t="s">
        <v>280</v>
      </c>
      <c r="X49" s="219"/>
      <c r="Y49" s="6"/>
    </row>
    <row r="50" spans="2:25">
      <c r="B50" s="6"/>
      <c r="K50" s="6"/>
      <c r="M50" s="6"/>
      <c r="N50" s="195"/>
      <c r="O50" s="216"/>
      <c r="P50" s="219"/>
      <c r="Q50" s="221"/>
      <c r="R50" s="221"/>
      <c r="S50" s="221"/>
      <c r="T50" s="221"/>
      <c r="U50" s="221"/>
      <c r="V50" s="219"/>
      <c r="W50" s="219"/>
      <c r="X50" s="219"/>
      <c r="Y50" s="6"/>
    </row>
    <row r="51" spans="2:25">
      <c r="B51" s="6"/>
      <c r="K51" s="6"/>
      <c r="M51" s="6"/>
      <c r="N51" s="195" t="s">
        <v>238</v>
      </c>
      <c r="O51" s="216">
        <v>11</v>
      </c>
      <c r="P51" s="219" t="s">
        <v>297</v>
      </c>
      <c r="Q51" s="221" t="s">
        <v>298</v>
      </c>
      <c r="R51" s="221"/>
      <c r="S51" s="221"/>
      <c r="T51" s="221"/>
      <c r="U51" s="221"/>
      <c r="V51" s="219" t="s">
        <v>241</v>
      </c>
      <c r="W51" s="219" t="s">
        <v>248</v>
      </c>
      <c r="X51" s="219"/>
      <c r="Y51" s="6"/>
    </row>
    <row r="52" spans="2:25">
      <c r="B52" s="6"/>
      <c r="K52" s="6"/>
      <c r="M52" s="6"/>
      <c r="N52" s="195"/>
      <c r="O52" s="216"/>
      <c r="P52" s="219"/>
      <c r="Q52" s="221"/>
      <c r="R52" s="221"/>
      <c r="S52" s="221"/>
      <c r="T52" s="221"/>
      <c r="U52" s="221"/>
      <c r="V52" s="219"/>
      <c r="W52" s="219"/>
      <c r="X52" s="219"/>
      <c r="Y52" s="6"/>
    </row>
    <row r="53" spans="2:25">
      <c r="B53" s="6"/>
      <c r="K53" s="6"/>
      <c r="M53" s="6"/>
      <c r="N53" s="196" t="s">
        <v>238</v>
      </c>
      <c r="O53" s="216">
        <v>12</v>
      </c>
      <c r="P53" s="219" t="s">
        <v>299</v>
      </c>
      <c r="Q53" s="221" t="s">
        <v>300</v>
      </c>
      <c r="R53" s="221"/>
      <c r="S53" s="221"/>
      <c r="T53" s="221"/>
      <c r="U53" s="221"/>
      <c r="V53" s="219" t="s">
        <v>241</v>
      </c>
      <c r="W53" s="219" t="s">
        <v>242</v>
      </c>
      <c r="X53" s="219"/>
      <c r="Y53" s="6"/>
    </row>
    <row r="54" spans="2:25">
      <c r="B54" s="6"/>
      <c r="K54" s="6"/>
      <c r="M54" s="6"/>
      <c r="N54" s="217"/>
      <c r="O54" s="216"/>
      <c r="P54" s="219"/>
      <c r="Q54" s="221"/>
      <c r="R54" s="221"/>
      <c r="S54" s="221"/>
      <c r="T54" s="221"/>
      <c r="U54" s="221"/>
      <c r="V54" s="219"/>
      <c r="W54" s="219"/>
      <c r="X54" s="219"/>
      <c r="Y54" s="6"/>
    </row>
    <row r="55" spans="2:25">
      <c r="B55" s="6"/>
      <c r="K55" s="6"/>
      <c r="M55" s="6"/>
      <c r="N55" s="198"/>
      <c r="O55" s="216"/>
      <c r="P55" s="219"/>
      <c r="Q55" s="221"/>
      <c r="R55" s="221"/>
      <c r="S55" s="221"/>
      <c r="T55" s="221"/>
      <c r="U55" s="221"/>
      <c r="V55" s="219"/>
      <c r="W55" s="219"/>
      <c r="X55" s="219"/>
      <c r="Y55" s="6"/>
    </row>
    <row r="56" spans="2:25">
      <c r="B56" s="6"/>
      <c r="C56" s="6"/>
      <c r="D56" s="6"/>
      <c r="E56" s="6"/>
      <c r="F56" s="6"/>
      <c r="G56" s="6"/>
      <c r="H56" s="6"/>
      <c r="I56" s="6"/>
      <c r="J56" s="6"/>
      <c r="K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</sheetData>
  <mergeCells count="177">
    <mergeCell ref="Q53:U55"/>
    <mergeCell ref="W11:X12"/>
    <mergeCell ref="W13:X14"/>
    <mergeCell ref="Q43:U44"/>
    <mergeCell ref="W23:X24"/>
    <mergeCell ref="W41:X42"/>
    <mergeCell ref="Q35:U36"/>
    <mergeCell ref="W35:X36"/>
    <mergeCell ref="Q37:U38"/>
    <mergeCell ref="W37:X38"/>
    <mergeCell ref="Q39:U40"/>
    <mergeCell ref="Q41:U42"/>
    <mergeCell ref="Q9:U10"/>
    <mergeCell ref="Q11:U12"/>
    <mergeCell ref="Q13:U14"/>
    <mergeCell ref="W9:X10"/>
    <mergeCell ref="Q19:U20"/>
    <mergeCell ref="Q27:U28"/>
    <mergeCell ref="Q29:U30"/>
    <mergeCell ref="Q33:U34"/>
    <mergeCell ref="Q15:U16"/>
    <mergeCell ref="Q17:U18"/>
    <mergeCell ref="W33:X34"/>
    <mergeCell ref="W15:X16"/>
    <mergeCell ref="Q21:U22"/>
    <mergeCell ref="Q23:U24"/>
    <mergeCell ref="Q25:U26"/>
    <mergeCell ref="Q47:U48"/>
    <mergeCell ref="Q49:U50"/>
    <mergeCell ref="Q51:U52"/>
    <mergeCell ref="W39:X40"/>
    <mergeCell ref="W43:X44"/>
    <mergeCell ref="W49:X50"/>
    <mergeCell ref="W51:X52"/>
    <mergeCell ref="W47:X48"/>
    <mergeCell ref="Q45:U46"/>
    <mergeCell ref="V51:V52"/>
    <mergeCell ref="V53:V55"/>
    <mergeCell ref="W25:X26"/>
    <mergeCell ref="W27:X28"/>
    <mergeCell ref="W29:X30"/>
    <mergeCell ref="W17:X18"/>
    <mergeCell ref="W21:X22"/>
    <mergeCell ref="W19:X20"/>
    <mergeCell ref="W53:X55"/>
    <mergeCell ref="W45:X46"/>
    <mergeCell ref="P49:P50"/>
    <mergeCell ref="P51:P52"/>
    <mergeCell ref="P53:P55"/>
    <mergeCell ref="T5:T6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O47:O48"/>
    <mergeCell ref="O49:O50"/>
    <mergeCell ref="O51:O52"/>
    <mergeCell ref="O53:O55"/>
    <mergeCell ref="P5:P6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3:P34"/>
    <mergeCell ref="P35:P36"/>
    <mergeCell ref="P37:P38"/>
    <mergeCell ref="P39:P40"/>
    <mergeCell ref="P41:P42"/>
    <mergeCell ref="P43:P44"/>
    <mergeCell ref="P45:P46"/>
    <mergeCell ref="P47:P48"/>
    <mergeCell ref="O27:O28"/>
    <mergeCell ref="O29:O30"/>
    <mergeCell ref="O33:O34"/>
    <mergeCell ref="O35:O36"/>
    <mergeCell ref="O37:O38"/>
    <mergeCell ref="O39:O40"/>
    <mergeCell ref="O41:O42"/>
    <mergeCell ref="O43:O44"/>
    <mergeCell ref="O45:O46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N37:N38"/>
    <mergeCell ref="N39:N40"/>
    <mergeCell ref="N41:N42"/>
    <mergeCell ref="N43:N44"/>
    <mergeCell ref="N45:N46"/>
    <mergeCell ref="N47:N48"/>
    <mergeCell ref="N49:N50"/>
    <mergeCell ref="N51:N52"/>
    <mergeCell ref="N53:N55"/>
    <mergeCell ref="N31:X31"/>
    <mergeCell ref="AD31:AF31"/>
    <mergeCell ref="Q32:U32"/>
    <mergeCell ref="W32:X32"/>
    <mergeCell ref="AD32:AF32"/>
    <mergeCell ref="AD33:AF33"/>
    <mergeCell ref="AD34:AF34"/>
    <mergeCell ref="AD35:AF35"/>
    <mergeCell ref="G4:G5"/>
    <mergeCell ref="N5:N6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3:N34"/>
    <mergeCell ref="N35:N36"/>
    <mergeCell ref="O5:O6"/>
    <mergeCell ref="AD22:AF22"/>
    <mergeCell ref="AD23:AF23"/>
    <mergeCell ref="AD24:AF24"/>
    <mergeCell ref="AD25:AF25"/>
    <mergeCell ref="AD26:AF26"/>
    <mergeCell ref="AD27:AF27"/>
    <mergeCell ref="AD28:AF28"/>
    <mergeCell ref="AD29:AF29"/>
    <mergeCell ref="AD30:AF30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AD21:AF21"/>
    <mergeCell ref="E2:K2"/>
    <mergeCell ref="P2:Y2"/>
    <mergeCell ref="AD2:AG2"/>
    <mergeCell ref="Q4:S4"/>
    <mergeCell ref="AE4:AF4"/>
    <mergeCell ref="AB6:AD6"/>
    <mergeCell ref="N7:X7"/>
    <mergeCell ref="AB7:AC7"/>
    <mergeCell ref="Q8:U8"/>
    <mergeCell ref="W8:X8"/>
    <mergeCell ref="AB8:AC8"/>
    <mergeCell ref="Q5:S6"/>
    <mergeCell ref="U4:X6"/>
    <mergeCell ref="AE5:AF6"/>
  </mergeCells>
  <phoneticPr fontId="29" type="noConversion"/>
  <conditionalFormatting sqref="N5:T6">
    <cfRule type="expression" dxfId="9" priority="13">
      <formula>$P$5="健康"</formula>
    </cfRule>
    <cfRule type="expression" dxfId="8" priority="14">
      <formula>$P$5="轻伤"</formula>
    </cfRule>
    <cfRule type="expression" dxfId="7" priority="15">
      <formula>$P$5="重伤"</formula>
    </cfRule>
    <cfRule type="expression" dxfId="6" priority="16">
      <formula>$P$5="致命伤"</formula>
    </cfRule>
  </conditionalFormatting>
  <conditionalFormatting sqref="N9:X30 N33:X53 O54:X55">
    <cfRule type="expression" dxfId="5" priority="20">
      <formula>$N9="是"</formula>
    </cfRule>
  </conditionalFormatting>
  <conditionalFormatting sqref="N9:X30 N33:X55">
    <cfRule type="expression" dxfId="4" priority="7">
      <formula>$N9="已稳定"</formula>
    </cfRule>
  </conditionalFormatting>
  <conditionalFormatting sqref="AE5:AF6">
    <cfRule type="expression" dxfId="3" priority="1">
      <formula>AD5=2</formula>
    </cfRule>
    <cfRule type="expression" dxfId="2" priority="2">
      <formula>AD5="1"</formula>
    </cfRule>
    <cfRule type="expression" dxfId="1" priority="3">
      <formula>AE5="严重赛博精神病"</formula>
    </cfRule>
    <cfRule type="expression" dxfId="0" priority="4">
      <formula>AE5="赛博精神病"</formula>
    </cfRule>
  </conditionalFormatting>
  <dataValidations count="1">
    <dataValidation type="list" allowBlank="1" showInputMessage="1" showErrorMessage="1" sqref="N9:N29 N33:N53" xr:uid="{00000000-0002-0000-0300-000000000000}">
      <formula1>"是,否,已稳定"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K51"/>
  <sheetViews>
    <sheetView tabSelected="1" workbookViewId="0">
      <selection activeCell="X39" sqref="X39"/>
    </sheetView>
  </sheetViews>
  <sheetFormatPr defaultColWidth="8.90625" defaultRowHeight="17.149999999999999" customHeight="1"/>
  <cols>
    <col min="1" max="1" width="8.90625" style="1"/>
    <col min="2" max="2" width="1.7265625" style="1" customWidth="1"/>
    <col min="3" max="3" width="8.90625" style="1"/>
    <col min="4" max="4" width="43.453125" style="1" customWidth="1"/>
    <col min="5" max="5" width="1.7265625" style="1" customWidth="1"/>
    <col min="6" max="6" width="4.7265625" style="1" customWidth="1"/>
    <col min="7" max="7" width="1.7265625" style="1" customWidth="1"/>
    <col min="8" max="16" width="8.90625" style="1"/>
    <col min="17" max="17" width="1.7265625" style="1" customWidth="1"/>
    <col min="18" max="18" width="4.7265625" style="1" customWidth="1"/>
    <col min="19" max="19" width="1.7265625" style="1" customWidth="1"/>
    <col min="20" max="22" width="8.90625" style="1"/>
    <col min="23" max="23" width="1.7265625" style="1" customWidth="1"/>
    <col min="24" max="37" width="8.90625" style="1"/>
    <col min="38" max="38" width="1.7265625" style="1" customWidth="1"/>
    <col min="39" max="16384" width="8.90625" style="1"/>
  </cols>
  <sheetData>
    <row r="2" spans="2:37" ht="17.149999999999999" customHeight="1">
      <c r="B2" s="3" t="s">
        <v>301</v>
      </c>
      <c r="C2" s="18"/>
      <c r="G2" s="3" t="s">
        <v>302</v>
      </c>
      <c r="H2" s="18"/>
      <c r="I2" s="18"/>
      <c r="S2" s="3" t="s">
        <v>303</v>
      </c>
      <c r="T2" s="18"/>
      <c r="U2" s="18"/>
    </row>
    <row r="3" spans="2:37" ht="17.149999999999999" customHeight="1">
      <c r="B3" s="6"/>
      <c r="C3" s="6"/>
      <c r="D3" s="6"/>
      <c r="E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S3" s="6"/>
      <c r="T3" s="6"/>
      <c r="U3" s="6"/>
      <c r="V3" s="6"/>
      <c r="W3" s="6"/>
    </row>
    <row r="4" spans="2:37" ht="17.149999999999999" customHeight="1">
      <c r="B4" s="6"/>
      <c r="C4" s="99" t="s">
        <v>304</v>
      </c>
      <c r="D4" s="205"/>
      <c r="E4" s="6"/>
      <c r="G4" s="6"/>
      <c r="H4" s="19" t="s">
        <v>305</v>
      </c>
      <c r="I4" s="194" t="s">
        <v>306</v>
      </c>
      <c r="J4" s="123"/>
      <c r="K4" s="123"/>
      <c r="L4" s="123" t="s">
        <v>307</v>
      </c>
      <c r="M4" s="123"/>
      <c r="N4" s="123"/>
      <c r="O4" s="123"/>
      <c r="P4" s="123"/>
      <c r="Q4" s="6"/>
      <c r="S4" s="6"/>
      <c r="T4" s="227"/>
      <c r="U4" s="227"/>
      <c r="V4" s="227"/>
      <c r="W4" s="21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 spans="2:37" ht="53.5" customHeight="1">
      <c r="B5" s="6"/>
      <c r="C5" s="23" t="s">
        <v>308</v>
      </c>
      <c r="D5" s="237" t="s">
        <v>414</v>
      </c>
      <c r="E5" s="6"/>
      <c r="G5" s="6"/>
      <c r="H5" s="248" t="s">
        <v>430</v>
      </c>
      <c r="I5" s="241" t="s">
        <v>434</v>
      </c>
      <c r="J5" s="195"/>
      <c r="K5" s="195"/>
      <c r="L5" s="257" t="s">
        <v>435</v>
      </c>
      <c r="M5" s="258"/>
      <c r="N5" s="258"/>
      <c r="O5" s="258"/>
      <c r="P5" s="258"/>
      <c r="Q5" s="6"/>
      <c r="S5" s="6"/>
      <c r="T5" s="227"/>
      <c r="U5" s="227"/>
      <c r="V5" s="227"/>
      <c r="W5" s="6"/>
    </row>
    <row r="6" spans="2:37" ht="66" customHeight="1">
      <c r="B6" s="6"/>
      <c r="C6" s="25" t="s">
        <v>309</v>
      </c>
      <c r="D6" s="248" t="s">
        <v>413</v>
      </c>
      <c r="E6" s="6"/>
      <c r="G6" s="6"/>
      <c r="H6" s="248" t="s">
        <v>431</v>
      </c>
      <c r="I6" s="241" t="s">
        <v>432</v>
      </c>
      <c r="J6" s="195"/>
      <c r="K6" s="195"/>
      <c r="L6" s="257" t="s">
        <v>433</v>
      </c>
      <c r="M6" s="258"/>
      <c r="N6" s="258"/>
      <c r="O6" s="258"/>
      <c r="P6" s="258"/>
      <c r="Q6" s="6"/>
      <c r="S6" s="6"/>
      <c r="T6" s="227"/>
      <c r="U6" s="227"/>
      <c r="V6" s="227"/>
      <c r="W6" s="6"/>
    </row>
    <row r="7" spans="2:37" ht="49.5" customHeight="1">
      <c r="B7" s="6"/>
      <c r="C7" s="25" t="s">
        <v>310</v>
      </c>
      <c r="D7" s="249" t="s">
        <v>428</v>
      </c>
      <c r="E7" s="6"/>
      <c r="G7" s="6"/>
      <c r="H7" s="248" t="s">
        <v>436</v>
      </c>
      <c r="I7" s="241" t="s">
        <v>437</v>
      </c>
      <c r="J7" s="195"/>
      <c r="K7" s="195"/>
      <c r="L7" s="257" t="s">
        <v>456</v>
      </c>
      <c r="M7" s="258"/>
      <c r="N7" s="258"/>
      <c r="O7" s="258"/>
      <c r="P7" s="258"/>
      <c r="Q7" s="6"/>
      <c r="S7" s="6"/>
      <c r="T7" s="227"/>
      <c r="U7" s="227"/>
      <c r="V7" s="227"/>
      <c r="W7" s="6"/>
    </row>
    <row r="8" spans="2:37" ht="17.149999999999999" customHeight="1">
      <c r="B8" s="6"/>
      <c r="C8" s="25" t="s">
        <v>311</v>
      </c>
      <c r="D8" s="248" t="s">
        <v>415</v>
      </c>
      <c r="E8" s="6"/>
      <c r="G8" s="6"/>
      <c r="H8" s="24"/>
      <c r="I8" s="195"/>
      <c r="J8" s="195"/>
      <c r="K8" s="195"/>
      <c r="L8" s="182"/>
      <c r="M8" s="182"/>
      <c r="N8" s="182"/>
      <c r="O8" s="182"/>
      <c r="P8" s="182"/>
      <c r="Q8" s="6"/>
      <c r="S8" s="6"/>
      <c r="T8" s="227"/>
      <c r="U8" s="227"/>
      <c r="V8" s="227"/>
      <c r="W8" s="6"/>
    </row>
    <row r="9" spans="2:37" ht="36" customHeight="1">
      <c r="B9" s="6"/>
      <c r="C9" s="26" t="s">
        <v>312</v>
      </c>
      <c r="D9" s="249" t="s">
        <v>416</v>
      </c>
      <c r="E9" s="6"/>
      <c r="G9" s="6"/>
      <c r="H9" s="24"/>
      <c r="I9" s="195"/>
      <c r="J9" s="195"/>
      <c r="K9" s="195"/>
      <c r="L9" s="182"/>
      <c r="M9" s="182"/>
      <c r="N9" s="182"/>
      <c r="O9" s="182"/>
      <c r="P9" s="182"/>
      <c r="Q9" s="6"/>
      <c r="S9" s="6"/>
      <c r="T9" s="227"/>
      <c r="U9" s="227"/>
      <c r="V9" s="227"/>
      <c r="W9" s="6"/>
    </row>
    <row r="10" spans="2:37" ht="17.149999999999999" customHeight="1">
      <c r="B10" s="6"/>
      <c r="C10" s="99" t="s">
        <v>313</v>
      </c>
      <c r="D10" s="226"/>
      <c r="E10" s="6"/>
      <c r="G10" s="6"/>
      <c r="H10" s="24"/>
      <c r="I10" s="195"/>
      <c r="J10" s="195"/>
      <c r="K10" s="195"/>
      <c r="L10" s="182"/>
      <c r="M10" s="182"/>
      <c r="N10" s="182"/>
      <c r="O10" s="182"/>
      <c r="P10" s="182"/>
      <c r="Q10" s="6"/>
      <c r="S10" s="6"/>
      <c r="T10" s="227"/>
      <c r="U10" s="227"/>
      <c r="V10" s="227"/>
      <c r="W10" s="6"/>
    </row>
    <row r="11" spans="2:37" ht="51" customHeight="1">
      <c r="B11" s="6"/>
      <c r="C11" s="23" t="s">
        <v>314</v>
      </c>
      <c r="D11" s="249" t="s">
        <v>417</v>
      </c>
      <c r="E11" s="6"/>
      <c r="G11" s="6"/>
      <c r="H11" s="24"/>
      <c r="I11" s="195"/>
      <c r="J11" s="195"/>
      <c r="K11" s="195"/>
      <c r="L11" s="182"/>
      <c r="M11" s="182"/>
      <c r="N11" s="182"/>
      <c r="O11" s="182"/>
      <c r="P11" s="182"/>
      <c r="Q11" s="6"/>
      <c r="S11" s="6"/>
      <c r="T11" s="227"/>
      <c r="U11" s="227"/>
      <c r="V11" s="227"/>
      <c r="W11" s="6"/>
    </row>
    <row r="12" spans="2:37" ht="17.149999999999999" customHeight="1">
      <c r="B12" s="6"/>
      <c r="C12" s="25" t="s">
        <v>315</v>
      </c>
      <c r="D12" s="248" t="s">
        <v>418</v>
      </c>
      <c r="E12" s="6"/>
      <c r="G12" s="6"/>
      <c r="H12" s="24"/>
      <c r="I12" s="195"/>
      <c r="J12" s="195"/>
      <c r="K12" s="195"/>
      <c r="L12" s="182"/>
      <c r="M12" s="182"/>
      <c r="N12" s="182"/>
      <c r="O12" s="182"/>
      <c r="P12" s="182"/>
      <c r="Q12" s="6"/>
      <c r="S12" s="6"/>
      <c r="T12" s="227"/>
      <c r="U12" s="227"/>
      <c r="V12" s="227"/>
      <c r="W12" s="6"/>
    </row>
    <row r="13" spans="2:37" ht="17.149999999999999" customHeight="1">
      <c r="B13" s="6"/>
      <c r="C13" s="25" t="s">
        <v>316</v>
      </c>
      <c r="D13" s="248" t="s">
        <v>419</v>
      </c>
      <c r="E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S13" s="6"/>
      <c r="T13" s="227"/>
      <c r="U13" s="227"/>
      <c r="V13" s="227"/>
      <c r="W13" s="6"/>
    </row>
    <row r="14" spans="2:37" ht="17.149999999999999" customHeight="1">
      <c r="B14" s="6"/>
      <c r="C14" s="25" t="s">
        <v>317</v>
      </c>
      <c r="D14" s="248" t="s">
        <v>424</v>
      </c>
      <c r="E14" s="6"/>
      <c r="S14" s="6"/>
      <c r="T14" s="227"/>
      <c r="U14" s="227"/>
      <c r="V14" s="227"/>
      <c r="W14" s="6"/>
    </row>
    <row r="15" spans="2:37" ht="17.149999999999999" customHeight="1">
      <c r="B15" s="6"/>
      <c r="C15" s="25" t="s">
        <v>318</v>
      </c>
      <c r="D15" s="248" t="s">
        <v>420</v>
      </c>
      <c r="E15" s="6"/>
      <c r="G15" s="3" t="s">
        <v>319</v>
      </c>
      <c r="H15" s="18"/>
      <c r="I15" s="18"/>
      <c r="S15" s="6"/>
      <c r="T15" s="227"/>
      <c r="U15" s="227"/>
      <c r="V15" s="227"/>
      <c r="W15" s="6"/>
    </row>
    <row r="16" spans="2:37" ht="20.5" customHeight="1">
      <c r="B16" s="6"/>
      <c r="C16" s="26" t="s">
        <v>320</v>
      </c>
      <c r="D16" s="251" t="s">
        <v>423</v>
      </c>
      <c r="E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S16" s="6"/>
      <c r="T16" s="227"/>
      <c r="U16" s="227"/>
      <c r="V16" s="227"/>
      <c r="W16" s="6"/>
    </row>
    <row r="17" spans="2:23" ht="17.149999999999999" customHeight="1">
      <c r="B17" s="6"/>
      <c r="C17" s="99" t="s">
        <v>321</v>
      </c>
      <c r="D17" s="226"/>
      <c r="E17" s="6"/>
      <c r="G17" s="6"/>
      <c r="H17" s="19" t="s">
        <v>305</v>
      </c>
      <c r="I17" s="194" t="s">
        <v>322</v>
      </c>
      <c r="J17" s="123"/>
      <c r="K17" s="123"/>
      <c r="L17" s="123" t="s">
        <v>307</v>
      </c>
      <c r="M17" s="123"/>
      <c r="N17" s="123"/>
      <c r="O17" s="123"/>
      <c r="P17" s="123"/>
      <c r="Q17" s="6"/>
      <c r="S17" s="6"/>
      <c r="T17" s="227"/>
      <c r="U17" s="227"/>
      <c r="V17" s="227"/>
      <c r="W17" s="6"/>
    </row>
    <row r="18" spans="2:23" ht="32" customHeight="1">
      <c r="B18" s="6"/>
      <c r="C18" s="23" t="s">
        <v>103</v>
      </c>
      <c r="D18" s="249" t="s">
        <v>429</v>
      </c>
      <c r="E18" s="6"/>
      <c r="G18" s="6"/>
      <c r="H18" s="24"/>
      <c r="I18" s="269" t="s">
        <v>455</v>
      </c>
      <c r="J18" s="261"/>
      <c r="K18" s="261"/>
      <c r="L18" s="261"/>
      <c r="M18" s="261"/>
      <c r="N18" s="261"/>
      <c r="O18" s="261"/>
      <c r="P18" s="262"/>
      <c r="Q18" s="6"/>
      <c r="S18" s="6"/>
      <c r="T18" s="227"/>
      <c r="U18" s="227"/>
      <c r="V18" s="227"/>
      <c r="W18" s="6"/>
    </row>
    <row r="19" spans="2:23" ht="30.5" customHeight="1">
      <c r="B19" s="6"/>
      <c r="C19" s="25" t="s">
        <v>323</v>
      </c>
      <c r="D19" s="249" t="s">
        <v>421</v>
      </c>
      <c r="E19" s="6"/>
      <c r="G19" s="6"/>
      <c r="H19" s="24"/>
      <c r="I19" s="263"/>
      <c r="J19" s="264"/>
      <c r="K19" s="264"/>
      <c r="L19" s="264"/>
      <c r="M19" s="264"/>
      <c r="N19" s="264"/>
      <c r="O19" s="264"/>
      <c r="P19" s="265"/>
      <c r="Q19" s="6"/>
      <c r="S19" s="6"/>
      <c r="T19" s="227"/>
      <c r="U19" s="227"/>
      <c r="V19" s="227"/>
      <c r="W19" s="6"/>
    </row>
    <row r="20" spans="2:23" ht="30.5" customHeight="1">
      <c r="B20" s="6"/>
      <c r="C20" s="26" t="s">
        <v>324</v>
      </c>
      <c r="D20" s="250" t="s">
        <v>422</v>
      </c>
      <c r="E20" s="6"/>
      <c r="G20" s="6"/>
      <c r="H20" s="24"/>
      <c r="I20" s="263"/>
      <c r="J20" s="264"/>
      <c r="K20" s="264"/>
      <c r="L20" s="264"/>
      <c r="M20" s="264"/>
      <c r="N20" s="264"/>
      <c r="O20" s="264"/>
      <c r="P20" s="265"/>
      <c r="Q20" s="6"/>
      <c r="S20" s="6"/>
      <c r="T20" s="227"/>
      <c r="U20" s="227"/>
      <c r="V20" s="227"/>
      <c r="W20" s="6"/>
    </row>
    <row r="21" spans="2:23" ht="17.149999999999999" customHeight="1">
      <c r="B21" s="6"/>
      <c r="C21" s="24"/>
      <c r="D21" s="24"/>
      <c r="E21" s="6"/>
      <c r="G21" s="6"/>
      <c r="H21" s="24"/>
      <c r="I21" s="263"/>
      <c r="J21" s="264"/>
      <c r="K21" s="264"/>
      <c r="L21" s="264"/>
      <c r="M21" s="264"/>
      <c r="N21" s="264"/>
      <c r="O21" s="264"/>
      <c r="P21" s="265"/>
      <c r="Q21" s="6"/>
      <c r="S21" s="6"/>
      <c r="T21" s="227"/>
      <c r="U21" s="227"/>
      <c r="V21" s="227"/>
      <c r="W21" s="6"/>
    </row>
    <row r="22" spans="2:23" ht="17.149999999999999" customHeight="1">
      <c r="B22" s="6"/>
      <c r="C22" s="24"/>
      <c r="D22" s="24"/>
      <c r="E22" s="6"/>
      <c r="G22" s="6"/>
      <c r="H22" s="24"/>
      <c r="I22" s="263"/>
      <c r="J22" s="264"/>
      <c r="K22" s="264"/>
      <c r="L22" s="264"/>
      <c r="M22" s="264"/>
      <c r="N22" s="264"/>
      <c r="O22" s="264"/>
      <c r="P22" s="265"/>
      <c r="Q22" s="6"/>
      <c r="S22" s="6"/>
      <c r="T22" s="227"/>
      <c r="U22" s="227"/>
      <c r="V22" s="227"/>
      <c r="W22" s="6"/>
    </row>
    <row r="23" spans="2:23" ht="17.149999999999999" customHeight="1">
      <c r="B23" s="6"/>
      <c r="C23" s="24"/>
      <c r="D23" s="24"/>
      <c r="E23" s="6"/>
      <c r="G23" s="6"/>
      <c r="H23" s="24"/>
      <c r="I23" s="263"/>
      <c r="J23" s="264"/>
      <c r="K23" s="264"/>
      <c r="L23" s="264"/>
      <c r="M23" s="264"/>
      <c r="N23" s="264"/>
      <c r="O23" s="264"/>
      <c r="P23" s="265"/>
      <c r="Q23" s="6"/>
      <c r="S23" s="6"/>
      <c r="T23" s="227"/>
      <c r="U23" s="227"/>
      <c r="V23" s="227"/>
      <c r="W23" s="6"/>
    </row>
    <row r="24" spans="2:23" ht="17.149999999999999" customHeight="1">
      <c r="B24" s="6"/>
      <c r="C24" s="24"/>
      <c r="D24" s="24"/>
      <c r="E24" s="6"/>
      <c r="G24" s="6"/>
      <c r="H24" s="24"/>
      <c r="I24" s="263"/>
      <c r="J24" s="264"/>
      <c r="K24" s="264"/>
      <c r="L24" s="264"/>
      <c r="M24" s="264"/>
      <c r="N24" s="264"/>
      <c r="O24" s="264"/>
      <c r="P24" s="265"/>
      <c r="Q24" s="6"/>
      <c r="S24" s="6"/>
      <c r="T24" s="227"/>
      <c r="U24" s="227"/>
      <c r="V24" s="227"/>
      <c r="W24" s="6"/>
    </row>
    <row r="25" spans="2:23" ht="17.149999999999999" customHeight="1">
      <c r="B25" s="6"/>
      <c r="C25" s="24"/>
      <c r="D25" s="24"/>
      <c r="E25" s="6"/>
      <c r="G25" s="6"/>
      <c r="H25" s="24"/>
      <c r="I25" s="266"/>
      <c r="J25" s="267"/>
      <c r="K25" s="267"/>
      <c r="L25" s="267"/>
      <c r="M25" s="267"/>
      <c r="N25" s="267"/>
      <c r="O25" s="267"/>
      <c r="P25" s="268"/>
      <c r="Q25" s="6"/>
      <c r="S25" s="6"/>
      <c r="T25" s="227"/>
      <c r="U25" s="227"/>
      <c r="V25" s="227"/>
      <c r="W25" s="6"/>
    </row>
    <row r="26" spans="2:23" ht="17.149999999999999" customHeight="1">
      <c r="B26" s="6"/>
      <c r="C26" s="252" t="s">
        <v>425</v>
      </c>
      <c r="D26" s="226"/>
      <c r="E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S26" s="6"/>
      <c r="T26" s="227"/>
      <c r="U26" s="227"/>
      <c r="V26" s="227"/>
      <c r="W26" s="6"/>
    </row>
    <row r="27" spans="2:23" ht="17.149999999999999" customHeight="1">
      <c r="B27" s="6"/>
      <c r="C27" s="253" t="s">
        <v>427</v>
      </c>
      <c r="D27" s="254"/>
      <c r="E27" s="6"/>
      <c r="S27" s="6"/>
      <c r="T27" s="227"/>
      <c r="U27" s="227"/>
      <c r="V27" s="227"/>
      <c r="W27" s="6"/>
    </row>
    <row r="28" spans="2:23" ht="17.149999999999999" customHeight="1">
      <c r="B28" s="6"/>
      <c r="C28" s="254"/>
      <c r="D28" s="254"/>
      <c r="E28" s="6"/>
      <c r="G28" s="3" t="s">
        <v>325</v>
      </c>
      <c r="H28" s="18"/>
      <c r="I28" s="18"/>
      <c r="S28" s="6"/>
      <c r="T28" s="227"/>
      <c r="U28" s="227"/>
      <c r="V28" s="227"/>
      <c r="W28" s="6"/>
    </row>
    <row r="29" spans="2:23" ht="17.149999999999999" customHeight="1">
      <c r="B29" s="6"/>
      <c r="C29" s="254"/>
      <c r="D29" s="254"/>
      <c r="E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S29" s="6"/>
      <c r="T29" s="227"/>
      <c r="U29" s="227"/>
      <c r="V29" s="227"/>
      <c r="W29" s="6"/>
    </row>
    <row r="30" spans="2:23" ht="111.5" customHeight="1">
      <c r="B30" s="6"/>
      <c r="C30" s="254"/>
      <c r="D30" s="254"/>
      <c r="E30" s="6"/>
      <c r="G30" s="6"/>
      <c r="H30" s="255" t="s">
        <v>426</v>
      </c>
      <c r="I30" s="256"/>
      <c r="J30" s="256"/>
      <c r="K30" s="256"/>
      <c r="L30" s="256"/>
      <c r="M30" s="256"/>
      <c r="N30" s="256"/>
      <c r="O30" s="256"/>
      <c r="P30" s="256"/>
      <c r="Q30" s="6"/>
      <c r="S30" s="6"/>
      <c r="T30" s="227"/>
      <c r="U30" s="227"/>
      <c r="V30" s="227"/>
      <c r="W30" s="6"/>
    </row>
    <row r="31" spans="2:23" ht="111.5" customHeight="1">
      <c r="B31" s="6"/>
      <c r="C31" s="254"/>
      <c r="D31" s="254"/>
      <c r="E31" s="6"/>
      <c r="G31" s="6"/>
      <c r="H31" s="256"/>
      <c r="I31" s="256"/>
      <c r="J31" s="256"/>
      <c r="K31" s="256"/>
      <c r="L31" s="256"/>
      <c r="M31" s="256"/>
      <c r="N31" s="256"/>
      <c r="O31" s="256"/>
      <c r="P31" s="256"/>
      <c r="Q31" s="6"/>
      <c r="S31" s="6"/>
      <c r="T31" s="227"/>
      <c r="U31" s="227"/>
      <c r="V31" s="227"/>
      <c r="W31" s="6"/>
    </row>
    <row r="32" spans="2:23" ht="111.5" customHeight="1">
      <c r="B32" s="6"/>
      <c r="C32" s="254"/>
      <c r="D32" s="254"/>
      <c r="E32" s="6"/>
      <c r="G32" s="6"/>
      <c r="H32" s="256"/>
      <c r="I32" s="256"/>
      <c r="J32" s="256"/>
      <c r="K32" s="256"/>
      <c r="L32" s="256"/>
      <c r="M32" s="256"/>
      <c r="N32" s="256"/>
      <c r="O32" s="256"/>
      <c r="P32" s="256"/>
      <c r="Q32" s="6"/>
      <c r="S32" s="6"/>
      <c r="T32" s="227"/>
      <c r="U32" s="227"/>
      <c r="V32" s="227"/>
      <c r="W32" s="6"/>
    </row>
    <row r="33" spans="2:31" ht="111.5" customHeight="1">
      <c r="B33" s="6"/>
      <c r="C33" s="254"/>
      <c r="D33" s="254"/>
      <c r="E33" s="6"/>
      <c r="G33" s="6"/>
      <c r="H33" s="256"/>
      <c r="I33" s="256"/>
      <c r="J33" s="256"/>
      <c r="K33" s="256"/>
      <c r="L33" s="256"/>
      <c r="M33" s="256"/>
      <c r="N33" s="256"/>
      <c r="O33" s="256"/>
      <c r="P33" s="256"/>
      <c r="Q33" s="6"/>
      <c r="S33" s="6"/>
      <c r="T33" s="227"/>
      <c r="U33" s="227"/>
      <c r="V33" s="227"/>
      <c r="W33" s="6"/>
    </row>
    <row r="34" spans="2:31" ht="111.5" customHeight="1">
      <c r="B34" s="6"/>
      <c r="C34" s="254"/>
      <c r="D34" s="254"/>
      <c r="E34" s="6"/>
      <c r="G34" s="6"/>
      <c r="H34" s="256"/>
      <c r="I34" s="256"/>
      <c r="J34" s="256"/>
      <c r="K34" s="256"/>
      <c r="L34" s="256"/>
      <c r="M34" s="256"/>
      <c r="N34" s="256"/>
      <c r="O34" s="256"/>
      <c r="P34" s="256"/>
      <c r="Q34" s="6"/>
      <c r="S34" s="6"/>
      <c r="T34" s="227"/>
      <c r="U34" s="227"/>
      <c r="V34" s="227"/>
      <c r="W34" s="6"/>
    </row>
    <row r="35" spans="2:31" ht="111.5" customHeight="1">
      <c r="B35" s="6"/>
      <c r="C35" s="254"/>
      <c r="D35" s="254"/>
      <c r="E35" s="6"/>
      <c r="G35" s="6"/>
      <c r="H35" s="256"/>
      <c r="I35" s="256"/>
      <c r="J35" s="256"/>
      <c r="K35" s="256"/>
      <c r="L35" s="256"/>
      <c r="M35" s="256"/>
      <c r="N35" s="256"/>
      <c r="O35" s="256"/>
      <c r="P35" s="256"/>
      <c r="Q35" s="6"/>
      <c r="S35" s="6"/>
      <c r="T35" s="227"/>
      <c r="U35" s="227"/>
      <c r="V35" s="227"/>
      <c r="W35" s="6"/>
    </row>
    <row r="36" spans="2:31" ht="111.5" customHeight="1">
      <c r="B36" s="6"/>
      <c r="C36" s="254"/>
      <c r="D36" s="254"/>
      <c r="E36" s="6"/>
      <c r="G36" s="6"/>
      <c r="H36" s="256"/>
      <c r="I36" s="256"/>
      <c r="J36" s="256"/>
      <c r="K36" s="256"/>
      <c r="L36" s="256"/>
      <c r="M36" s="256"/>
      <c r="N36" s="256"/>
      <c r="O36" s="256"/>
      <c r="P36" s="256"/>
      <c r="Q36" s="6"/>
      <c r="S36" s="6"/>
      <c r="T36" s="227"/>
      <c r="U36" s="227"/>
      <c r="V36" s="227"/>
      <c r="W36" s="6"/>
    </row>
    <row r="37" spans="2:31" ht="93" customHeight="1">
      <c r="B37" s="6"/>
      <c r="C37" s="254"/>
      <c r="D37" s="254"/>
      <c r="E37" s="6"/>
      <c r="G37" s="6"/>
      <c r="H37" s="256"/>
      <c r="I37" s="256"/>
      <c r="J37" s="256"/>
      <c r="K37" s="256"/>
      <c r="L37" s="256"/>
      <c r="M37" s="256"/>
      <c r="N37" s="256"/>
      <c r="O37" s="256"/>
      <c r="P37" s="256"/>
      <c r="Q37" s="6"/>
      <c r="S37" s="6"/>
      <c r="T37" s="227"/>
      <c r="U37" s="227"/>
      <c r="V37" s="227"/>
      <c r="W37" s="6"/>
    </row>
    <row r="38" spans="2:31" ht="17.149999999999999" customHeight="1">
      <c r="B38" s="6"/>
      <c r="C38" s="6"/>
      <c r="D38" s="6"/>
      <c r="E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S38" s="6"/>
      <c r="T38" s="6"/>
      <c r="U38" s="6"/>
      <c r="V38" s="6"/>
      <c r="W38" s="6"/>
    </row>
    <row r="40" spans="2:31" ht="17.149999999999999" customHeight="1">
      <c r="B40" s="3" t="s">
        <v>326</v>
      </c>
      <c r="C40" s="18"/>
      <c r="D40" s="18"/>
    </row>
    <row r="41" spans="2:31" ht="17.149999999999999" customHeight="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2:31" ht="17.149999999999999" customHeight="1">
      <c r="B42" s="6"/>
      <c r="C42" s="19" t="s">
        <v>305</v>
      </c>
      <c r="D42" s="20" t="s">
        <v>327</v>
      </c>
      <c r="E42" s="123" t="s">
        <v>328</v>
      </c>
      <c r="F42" s="123"/>
      <c r="G42" s="123"/>
      <c r="H42" s="123"/>
      <c r="I42" s="123"/>
      <c r="J42" s="194" t="s">
        <v>329</v>
      </c>
      <c r="K42" s="123"/>
      <c r="L42" s="123"/>
      <c r="M42" s="194" t="s">
        <v>330</v>
      </c>
      <c r="N42" s="123"/>
      <c r="O42" s="123"/>
      <c r="P42" s="194" t="s">
        <v>307</v>
      </c>
      <c r="Q42" s="123"/>
      <c r="R42" s="123"/>
      <c r="S42" s="123"/>
      <c r="T42" s="123"/>
      <c r="U42" s="123"/>
      <c r="V42" s="123"/>
      <c r="W42" s="6"/>
    </row>
    <row r="43" spans="2:31" ht="86.5" customHeight="1">
      <c r="B43" s="6"/>
      <c r="C43" s="260" t="s">
        <v>438</v>
      </c>
      <c r="D43" s="260" t="s">
        <v>449</v>
      </c>
      <c r="E43" s="257" t="s">
        <v>440</v>
      </c>
      <c r="F43" s="258"/>
      <c r="G43" s="258"/>
      <c r="H43" s="258"/>
      <c r="I43" s="258"/>
      <c r="J43" s="257" t="s">
        <v>441</v>
      </c>
      <c r="K43" s="258"/>
      <c r="L43" s="258"/>
      <c r="M43" s="257" t="s">
        <v>447</v>
      </c>
      <c r="N43" s="258"/>
      <c r="O43" s="258"/>
      <c r="P43" s="257" t="s">
        <v>457</v>
      </c>
      <c r="Q43" s="258"/>
      <c r="R43" s="258"/>
      <c r="S43" s="258"/>
      <c r="T43" s="258"/>
      <c r="U43" s="258"/>
      <c r="V43" s="258"/>
      <c r="W43" s="6"/>
      <c r="Z43" s="259"/>
      <c r="AA43" s="259"/>
      <c r="AB43" s="259"/>
      <c r="AC43" s="259"/>
      <c r="AD43" s="259"/>
      <c r="AE43" s="259"/>
    </row>
    <row r="44" spans="2:31" ht="77" customHeight="1">
      <c r="B44" s="6"/>
      <c r="C44" s="260" t="s">
        <v>442</v>
      </c>
      <c r="D44" s="260" t="s">
        <v>443</v>
      </c>
      <c r="E44" s="257" t="s">
        <v>444</v>
      </c>
      <c r="F44" s="258"/>
      <c r="G44" s="258"/>
      <c r="H44" s="258"/>
      <c r="I44" s="258"/>
      <c r="J44" s="257" t="s">
        <v>445</v>
      </c>
      <c r="K44" s="258"/>
      <c r="L44" s="258"/>
      <c r="M44" s="257" t="s">
        <v>446</v>
      </c>
      <c r="N44" s="258"/>
      <c r="O44" s="258"/>
      <c r="P44" s="257" t="s">
        <v>448</v>
      </c>
      <c r="Q44" s="258"/>
      <c r="R44" s="258"/>
      <c r="S44" s="258"/>
      <c r="T44" s="258"/>
      <c r="U44" s="258"/>
      <c r="V44" s="258"/>
      <c r="W44" s="6"/>
      <c r="Z44" s="260"/>
      <c r="AA44" s="260"/>
      <c r="AB44" s="260"/>
      <c r="AC44" s="260"/>
      <c r="AD44" s="260"/>
      <c r="AE44" s="260"/>
    </row>
    <row r="45" spans="2:31" ht="60" customHeight="1">
      <c r="B45" s="6"/>
      <c r="C45" s="237" t="s">
        <v>439</v>
      </c>
      <c r="D45" s="248" t="s">
        <v>452</v>
      </c>
      <c r="E45" s="257" t="s">
        <v>450</v>
      </c>
      <c r="F45" s="258"/>
      <c r="G45" s="258"/>
      <c r="H45" s="258"/>
      <c r="I45" s="258"/>
      <c r="J45" s="257" t="s">
        <v>451</v>
      </c>
      <c r="K45" s="258"/>
      <c r="L45" s="258"/>
      <c r="M45" s="257" t="s">
        <v>454</v>
      </c>
      <c r="N45" s="258"/>
      <c r="O45" s="258"/>
      <c r="P45" s="257" t="s">
        <v>453</v>
      </c>
      <c r="Q45" s="258"/>
      <c r="R45" s="258"/>
      <c r="S45" s="258"/>
      <c r="T45" s="258"/>
      <c r="U45" s="258"/>
      <c r="V45" s="258"/>
      <c r="W45" s="6"/>
      <c r="Z45" s="260"/>
      <c r="AA45" s="260"/>
      <c r="AB45" s="260"/>
      <c r="AC45" s="260"/>
      <c r="AD45" s="260"/>
      <c r="AE45" s="260"/>
    </row>
    <row r="46" spans="2:31" ht="17.149999999999999" customHeight="1">
      <c r="B46" s="6"/>
      <c r="C46" s="24"/>
      <c r="D46" s="24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6"/>
      <c r="Z46" s="260"/>
      <c r="AA46" s="260"/>
      <c r="AB46" s="260"/>
      <c r="AC46" s="260"/>
      <c r="AD46" s="260"/>
      <c r="AE46" s="260"/>
    </row>
    <row r="47" spans="2:31" ht="17.149999999999999" customHeight="1">
      <c r="B47" s="6"/>
      <c r="C47" s="24"/>
      <c r="D47" s="24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6"/>
      <c r="Z47" s="260"/>
      <c r="AA47" s="260"/>
      <c r="AB47" s="260"/>
      <c r="AC47" s="260"/>
      <c r="AD47" s="260"/>
      <c r="AE47" s="260"/>
    </row>
    <row r="48" spans="2:31" ht="17.149999999999999" customHeight="1">
      <c r="B48" s="6"/>
      <c r="C48" s="24"/>
      <c r="D48" s="24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6"/>
      <c r="Z48" s="260"/>
      <c r="AA48" s="260"/>
      <c r="AB48" s="260"/>
      <c r="AC48" s="260"/>
      <c r="AD48" s="260"/>
      <c r="AE48" s="260"/>
    </row>
    <row r="49" spans="2:23" ht="17.149999999999999" customHeight="1">
      <c r="B49" s="6"/>
      <c r="C49" s="24"/>
      <c r="D49" s="24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6"/>
    </row>
    <row r="50" spans="2:23" ht="17.149999999999999" customHeight="1">
      <c r="B50" s="6"/>
      <c r="C50" s="24"/>
      <c r="D50" s="24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6"/>
    </row>
    <row r="51" spans="2:23" ht="17.149999999999999" customHeigh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</sheetData>
  <mergeCells count="64">
    <mergeCell ref="E50:I50"/>
    <mergeCell ref="J50:L50"/>
    <mergeCell ref="M50:O50"/>
    <mergeCell ref="P50:V50"/>
    <mergeCell ref="C27:D37"/>
    <mergeCell ref="H30:P37"/>
    <mergeCell ref="T4:V37"/>
    <mergeCell ref="I18:P25"/>
    <mergeCell ref="E48:I48"/>
    <mergeCell ref="J48:L48"/>
    <mergeCell ref="M48:O48"/>
    <mergeCell ref="P48:V48"/>
    <mergeCell ref="E49:I49"/>
    <mergeCell ref="J49:L49"/>
    <mergeCell ref="M49:O49"/>
    <mergeCell ref="P49:V49"/>
    <mergeCell ref="E46:I46"/>
    <mergeCell ref="J46:L46"/>
    <mergeCell ref="M46:O46"/>
    <mergeCell ref="P46:V46"/>
    <mergeCell ref="E47:I47"/>
    <mergeCell ref="J47:L47"/>
    <mergeCell ref="M47:O47"/>
    <mergeCell ref="P47:V47"/>
    <mergeCell ref="E44:I44"/>
    <mergeCell ref="J44:L44"/>
    <mergeCell ref="M44:O44"/>
    <mergeCell ref="P44:V44"/>
    <mergeCell ref="E45:I45"/>
    <mergeCell ref="J45:L45"/>
    <mergeCell ref="M45:O45"/>
    <mergeCell ref="P45:V45"/>
    <mergeCell ref="E42:I42"/>
    <mergeCell ref="J42:L42"/>
    <mergeCell ref="M42:O42"/>
    <mergeCell ref="P42:V42"/>
    <mergeCell ref="E43:I43"/>
    <mergeCell ref="J43:L43"/>
    <mergeCell ref="M43:O43"/>
    <mergeCell ref="P43:V43"/>
    <mergeCell ref="C26:D26"/>
    <mergeCell ref="I11:K11"/>
    <mergeCell ref="L11:P11"/>
    <mergeCell ref="I12:K12"/>
    <mergeCell ref="L12:P12"/>
    <mergeCell ref="C17:D17"/>
    <mergeCell ref="I17:K17"/>
    <mergeCell ref="L17:P17"/>
    <mergeCell ref="I9:K9"/>
    <mergeCell ref="L9:P9"/>
    <mergeCell ref="C10:D10"/>
    <mergeCell ref="I10:K10"/>
    <mergeCell ref="L10:P10"/>
    <mergeCell ref="I6:K6"/>
    <mergeCell ref="L6:P6"/>
    <mergeCell ref="I7:K7"/>
    <mergeCell ref="L7:P7"/>
    <mergeCell ref="I8:K8"/>
    <mergeCell ref="L8:P8"/>
    <mergeCell ref="C4:D4"/>
    <mergeCell ref="I4:K4"/>
    <mergeCell ref="L4:P4"/>
    <mergeCell ref="I5:K5"/>
    <mergeCell ref="L5:P5"/>
  </mergeCells>
  <phoneticPr fontId="2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T51"/>
  <sheetViews>
    <sheetView topLeftCell="A4" workbookViewId="0">
      <selection activeCell="D13" sqref="D13"/>
    </sheetView>
  </sheetViews>
  <sheetFormatPr defaultColWidth="8.90625" defaultRowHeight="14"/>
  <cols>
    <col min="1" max="1" width="8.90625" style="1"/>
    <col min="2" max="2" width="1.7265625" style="1" customWidth="1"/>
    <col min="3" max="4" width="8.90625" style="2"/>
    <col min="5" max="5" width="10.453125" style="2"/>
    <col min="6" max="6" width="10.36328125" style="2" customWidth="1"/>
    <col min="7" max="7" width="1.7265625" style="1" customWidth="1"/>
    <col min="8" max="8" width="4.7265625" style="1" customWidth="1"/>
    <col min="9" max="9" width="1.7265625" style="1" customWidth="1"/>
    <col min="10" max="10" width="14.6328125" style="1" customWidth="1"/>
    <col min="11" max="11" width="11.6328125" style="1" customWidth="1"/>
    <col min="12" max="13" width="8.90625" style="1"/>
    <col min="14" max="14" width="69.08984375" style="1" customWidth="1"/>
    <col min="15" max="15" width="23.453125" style="1" customWidth="1"/>
    <col min="16" max="16" width="19.453125" style="1" customWidth="1"/>
    <col min="17" max="19" width="40.7265625" style="1" customWidth="1"/>
    <col min="20" max="20" width="1.7265625" style="1" customWidth="1"/>
    <col min="21" max="16384" width="8.90625" style="1"/>
  </cols>
  <sheetData>
    <row r="2" spans="2:20">
      <c r="B2" s="3" t="s">
        <v>331</v>
      </c>
      <c r="C2" s="4"/>
      <c r="D2" s="4"/>
      <c r="E2" s="180" t="s">
        <v>332</v>
      </c>
      <c r="F2" s="180"/>
      <c r="G2" s="180"/>
      <c r="I2" s="3" t="s">
        <v>333</v>
      </c>
      <c r="J2" s="5"/>
      <c r="K2" s="5"/>
      <c r="L2" s="228" t="s">
        <v>332</v>
      </c>
      <c r="M2" s="228"/>
      <c r="N2" s="228"/>
      <c r="O2" s="228"/>
      <c r="P2" s="228"/>
      <c r="Q2" s="228"/>
      <c r="R2" s="228"/>
      <c r="S2" s="228"/>
      <c r="T2" s="228"/>
    </row>
    <row r="3" spans="2:20">
      <c r="B3" s="6"/>
      <c r="C3" s="7"/>
      <c r="D3" s="7"/>
      <c r="E3" s="7"/>
      <c r="F3" s="7"/>
      <c r="G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2:20">
      <c r="B4" s="6"/>
      <c r="C4" s="99" t="s">
        <v>334</v>
      </c>
      <c r="D4" s="99"/>
      <c r="E4" s="99"/>
      <c r="F4" s="99"/>
      <c r="G4" s="6"/>
      <c r="I4" s="6"/>
      <c r="J4" s="9" t="s">
        <v>335</v>
      </c>
      <c r="K4" s="9" t="s">
        <v>336</v>
      </c>
      <c r="L4" s="9" t="s">
        <v>337</v>
      </c>
      <c r="M4" s="9" t="s">
        <v>338</v>
      </c>
      <c r="N4" s="9" t="s">
        <v>339</v>
      </c>
      <c r="O4" s="9" t="s">
        <v>340</v>
      </c>
      <c r="P4" s="9" t="s">
        <v>341</v>
      </c>
      <c r="Q4" s="9" t="s">
        <v>342</v>
      </c>
      <c r="R4" s="9" t="s">
        <v>343</v>
      </c>
      <c r="S4" s="9" t="s">
        <v>344</v>
      </c>
      <c r="T4" s="6"/>
    </row>
    <row r="5" spans="2:20">
      <c r="B5" s="6"/>
      <c r="C5" s="10" t="s">
        <v>345</v>
      </c>
      <c r="D5" s="10" t="s">
        <v>346</v>
      </c>
      <c r="E5" s="10" t="s">
        <v>347</v>
      </c>
      <c r="F5" s="10" t="s">
        <v>159</v>
      </c>
      <c r="G5" s="6"/>
      <c r="I5" s="6"/>
      <c r="J5" s="11"/>
      <c r="K5" s="2"/>
      <c r="L5" s="2"/>
      <c r="M5" s="2"/>
      <c r="N5" s="2"/>
      <c r="O5" s="2"/>
      <c r="P5" s="2"/>
      <c r="Q5" s="2"/>
      <c r="R5" s="2"/>
      <c r="S5" s="2"/>
      <c r="T5" s="6"/>
    </row>
    <row r="6" spans="2:20">
      <c r="B6" s="6"/>
      <c r="C6" s="12"/>
      <c r="D6" s="13">
        <f>SUM(F9:F18)</f>
        <v>0</v>
      </c>
      <c r="E6" s="13">
        <f>SUM(F21:F50)</f>
        <v>0</v>
      </c>
      <c r="F6" s="13">
        <f>C6-D6-E6</f>
        <v>0</v>
      </c>
      <c r="G6" s="6"/>
      <c r="I6" s="6"/>
      <c r="J6" s="11"/>
      <c r="K6" s="2"/>
      <c r="L6" s="2"/>
      <c r="M6" s="2"/>
      <c r="N6" s="2"/>
      <c r="O6" s="2"/>
      <c r="P6" s="2"/>
      <c r="Q6" s="2"/>
      <c r="R6" s="2"/>
      <c r="S6" s="2"/>
      <c r="T6" s="6"/>
    </row>
    <row r="7" spans="2:20">
      <c r="B7" s="6"/>
      <c r="C7" s="206" t="s">
        <v>348</v>
      </c>
      <c r="D7" s="206"/>
      <c r="E7" s="206"/>
      <c r="F7" s="206"/>
      <c r="G7" s="6"/>
      <c r="I7" s="6"/>
      <c r="J7" s="11"/>
      <c r="K7" s="2"/>
      <c r="L7" s="2"/>
      <c r="M7" s="2"/>
      <c r="N7" s="2"/>
      <c r="O7" s="2"/>
      <c r="P7" s="2"/>
      <c r="Q7" s="2"/>
      <c r="R7" s="2"/>
      <c r="S7" s="2"/>
      <c r="T7" s="6"/>
    </row>
    <row r="8" spans="2:20">
      <c r="B8" s="6"/>
      <c r="C8" s="8" t="s">
        <v>349</v>
      </c>
      <c r="D8" s="10" t="s">
        <v>350</v>
      </c>
      <c r="E8" s="10" t="s">
        <v>351</v>
      </c>
      <c r="F8" s="10" t="s">
        <v>352</v>
      </c>
      <c r="G8" s="6"/>
      <c r="I8" s="6"/>
      <c r="J8" s="11"/>
      <c r="K8" s="2"/>
      <c r="L8" s="2"/>
      <c r="M8" s="2"/>
      <c r="N8" s="2"/>
      <c r="O8" s="2"/>
      <c r="P8" s="2"/>
      <c r="Q8" s="2"/>
      <c r="R8" s="2"/>
      <c r="S8" s="2"/>
      <c r="T8" s="6"/>
    </row>
    <row r="9" spans="2:20">
      <c r="B9" s="6"/>
      <c r="C9" s="14" t="s">
        <v>353</v>
      </c>
      <c r="D9" s="12"/>
      <c r="E9" s="12"/>
      <c r="F9" s="12"/>
      <c r="G9" s="6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6"/>
    </row>
    <row r="10" spans="2:20">
      <c r="B10" s="6"/>
      <c r="C10" s="15" t="s">
        <v>354</v>
      </c>
      <c r="D10" s="12"/>
      <c r="E10" s="12"/>
      <c r="F10" s="12"/>
      <c r="G10" s="6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6"/>
    </row>
    <row r="11" spans="2:20">
      <c r="B11" s="6"/>
      <c r="C11" s="15" t="s">
        <v>355</v>
      </c>
      <c r="D11" s="12"/>
      <c r="E11" s="12"/>
      <c r="F11" s="12"/>
      <c r="G11" s="6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6"/>
    </row>
    <row r="12" spans="2:20">
      <c r="B12" s="6"/>
      <c r="C12" s="15" t="s">
        <v>356</v>
      </c>
      <c r="D12" s="12"/>
      <c r="E12" s="12"/>
      <c r="F12" s="12"/>
      <c r="G12" s="6"/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6"/>
    </row>
    <row r="13" spans="2:20">
      <c r="B13" s="6"/>
      <c r="C13" s="15" t="s">
        <v>357</v>
      </c>
      <c r="D13" s="12"/>
      <c r="E13" s="12"/>
      <c r="F13" s="12"/>
      <c r="G13" s="6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6"/>
    </row>
    <row r="14" spans="2:20">
      <c r="B14" s="6"/>
      <c r="C14" s="15" t="s">
        <v>358</v>
      </c>
      <c r="D14" s="12"/>
      <c r="E14" s="12"/>
      <c r="F14" s="12"/>
      <c r="G14" s="6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6"/>
    </row>
    <row r="15" spans="2:20">
      <c r="B15" s="6"/>
      <c r="C15" s="15" t="s">
        <v>359</v>
      </c>
      <c r="D15" s="12"/>
      <c r="E15" s="12"/>
      <c r="F15" s="12"/>
      <c r="G15" s="6"/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6"/>
    </row>
    <row r="16" spans="2:20">
      <c r="B16" s="6"/>
      <c r="C16" s="15" t="s">
        <v>360</v>
      </c>
      <c r="D16" s="12"/>
      <c r="E16" s="12"/>
      <c r="F16" s="12"/>
      <c r="G16" s="6"/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6"/>
    </row>
    <row r="17" spans="2:20">
      <c r="B17" s="6"/>
      <c r="C17" s="15" t="s">
        <v>361</v>
      </c>
      <c r="D17" s="12"/>
      <c r="E17" s="12"/>
      <c r="F17" s="12"/>
      <c r="G17" s="6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6"/>
    </row>
    <row r="18" spans="2:20">
      <c r="B18" s="6"/>
      <c r="C18" s="16" t="s">
        <v>362</v>
      </c>
      <c r="D18" s="12"/>
      <c r="E18" s="12"/>
      <c r="F18" s="12"/>
      <c r="G18" s="6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6"/>
    </row>
    <row r="19" spans="2:20">
      <c r="B19" s="6"/>
      <c r="C19" s="206" t="s">
        <v>363</v>
      </c>
      <c r="D19" s="206"/>
      <c r="E19" s="206"/>
      <c r="F19" s="206"/>
      <c r="G19" s="6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6"/>
    </row>
    <row r="20" spans="2:20">
      <c r="B20" s="6"/>
      <c r="C20" s="17" t="s">
        <v>364</v>
      </c>
      <c r="D20" s="17" t="s">
        <v>365</v>
      </c>
      <c r="E20" s="17" t="s">
        <v>366</v>
      </c>
      <c r="F20" s="17" t="s">
        <v>352</v>
      </c>
      <c r="G20" s="6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6"/>
    </row>
    <row r="21" spans="2:20">
      <c r="B21" s="6"/>
      <c r="C21" s="12"/>
      <c r="D21" s="12"/>
      <c r="E21" s="12"/>
      <c r="F21" s="12"/>
      <c r="G21" s="6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6"/>
    </row>
    <row r="22" spans="2:20">
      <c r="B22" s="6"/>
      <c r="C22" s="12"/>
      <c r="D22" s="12"/>
      <c r="E22" s="12"/>
      <c r="F22" s="12"/>
      <c r="G22" s="6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6"/>
    </row>
    <row r="23" spans="2:20">
      <c r="B23" s="6"/>
      <c r="C23" s="12"/>
      <c r="D23" s="12"/>
      <c r="E23" s="12"/>
      <c r="F23" s="12"/>
      <c r="G23" s="6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6"/>
    </row>
    <row r="24" spans="2:20">
      <c r="B24" s="6"/>
      <c r="C24" s="12"/>
      <c r="D24" s="12"/>
      <c r="E24" s="12"/>
      <c r="F24" s="12"/>
      <c r="G24" s="6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6"/>
    </row>
    <row r="25" spans="2:20">
      <c r="B25" s="6"/>
      <c r="C25" s="12"/>
      <c r="D25" s="12"/>
      <c r="E25" s="12"/>
      <c r="F25" s="12"/>
      <c r="G25" s="6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6"/>
    </row>
    <row r="26" spans="2:20">
      <c r="B26" s="6"/>
      <c r="C26" s="12"/>
      <c r="D26" s="12"/>
      <c r="E26" s="12"/>
      <c r="F26" s="12"/>
      <c r="G26" s="6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6"/>
    </row>
    <row r="27" spans="2:20">
      <c r="B27" s="6"/>
      <c r="C27" s="12"/>
      <c r="D27" s="12"/>
      <c r="E27" s="12"/>
      <c r="F27" s="12"/>
      <c r="G27" s="6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6"/>
    </row>
    <row r="28" spans="2:20">
      <c r="B28" s="6"/>
      <c r="C28" s="12"/>
      <c r="D28" s="12"/>
      <c r="E28" s="12"/>
      <c r="F28" s="12"/>
      <c r="G28" s="6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6"/>
    </row>
    <row r="29" spans="2:20">
      <c r="B29" s="6"/>
      <c r="C29" s="12"/>
      <c r="D29" s="12"/>
      <c r="E29" s="12"/>
      <c r="F29" s="12"/>
      <c r="G29" s="6"/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6"/>
    </row>
    <row r="30" spans="2:20">
      <c r="B30" s="6"/>
      <c r="C30" s="12"/>
      <c r="D30" s="12"/>
      <c r="E30" s="12"/>
      <c r="F30" s="12"/>
      <c r="G30" s="6"/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6"/>
    </row>
    <row r="31" spans="2:20">
      <c r="B31" s="6"/>
      <c r="C31" s="12"/>
      <c r="D31" s="12"/>
      <c r="E31" s="12"/>
      <c r="F31" s="12"/>
      <c r="G31" s="6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6"/>
    </row>
    <row r="32" spans="2:20">
      <c r="B32" s="6"/>
      <c r="C32" s="12"/>
      <c r="D32" s="12"/>
      <c r="E32" s="12"/>
      <c r="F32" s="12"/>
      <c r="G32" s="6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6"/>
    </row>
    <row r="33" spans="2:20">
      <c r="B33" s="6"/>
      <c r="C33" s="12"/>
      <c r="D33" s="12"/>
      <c r="E33" s="12"/>
      <c r="F33" s="12"/>
      <c r="G33" s="6"/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6"/>
    </row>
    <row r="34" spans="2:20">
      <c r="B34" s="6"/>
      <c r="C34" s="12"/>
      <c r="D34" s="12"/>
      <c r="E34" s="12"/>
      <c r="F34" s="12"/>
      <c r="G34" s="6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6"/>
    </row>
    <row r="35" spans="2:20">
      <c r="B35" s="6"/>
      <c r="C35" s="12"/>
      <c r="D35" s="12"/>
      <c r="E35" s="12"/>
      <c r="F35" s="12"/>
      <c r="G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6"/>
    </row>
    <row r="36" spans="2:20">
      <c r="B36" s="6"/>
      <c r="C36" s="12"/>
      <c r="D36" s="12"/>
      <c r="E36" s="12"/>
      <c r="F36" s="12"/>
      <c r="G36" s="6"/>
      <c r="I36" s="6"/>
      <c r="J36" s="2"/>
      <c r="K36" s="2"/>
      <c r="L36" s="2"/>
      <c r="M36" s="2"/>
      <c r="N36" s="2"/>
      <c r="O36" s="2"/>
      <c r="P36" s="2"/>
      <c r="Q36" s="2"/>
      <c r="R36" s="2"/>
      <c r="S36" s="2"/>
      <c r="T36" s="6"/>
    </row>
    <row r="37" spans="2:20">
      <c r="B37" s="6"/>
      <c r="C37" s="12"/>
      <c r="D37" s="12"/>
      <c r="E37" s="12"/>
      <c r="F37" s="12"/>
      <c r="G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6"/>
    </row>
    <row r="38" spans="2:20">
      <c r="B38" s="6"/>
      <c r="C38" s="12"/>
      <c r="D38" s="12"/>
      <c r="E38" s="12"/>
      <c r="F38" s="12"/>
      <c r="G38" s="6"/>
      <c r="I38" s="6"/>
      <c r="J38" s="2"/>
      <c r="K38" s="2"/>
      <c r="L38" s="2"/>
      <c r="M38" s="2"/>
      <c r="N38" s="2"/>
      <c r="O38" s="2"/>
      <c r="P38" s="2"/>
      <c r="Q38" s="2"/>
      <c r="R38" s="2"/>
      <c r="S38" s="2"/>
      <c r="T38" s="6"/>
    </row>
    <row r="39" spans="2:20">
      <c r="B39" s="6"/>
      <c r="C39" s="12"/>
      <c r="D39" s="12"/>
      <c r="E39" s="12"/>
      <c r="F39" s="12"/>
      <c r="G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6"/>
    </row>
    <row r="40" spans="2:20">
      <c r="B40" s="6"/>
      <c r="C40" s="12"/>
      <c r="D40" s="12"/>
      <c r="E40" s="12"/>
      <c r="F40" s="12"/>
      <c r="G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6"/>
    </row>
    <row r="41" spans="2:20">
      <c r="B41" s="6"/>
      <c r="C41" s="12"/>
      <c r="D41" s="12"/>
      <c r="E41" s="12"/>
      <c r="F41" s="12"/>
      <c r="G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6"/>
    </row>
    <row r="42" spans="2:20">
      <c r="B42" s="6"/>
      <c r="C42" s="12"/>
      <c r="D42" s="12"/>
      <c r="E42" s="12"/>
      <c r="F42" s="12"/>
      <c r="G42" s="6"/>
      <c r="I42" s="6"/>
      <c r="J42" s="2"/>
      <c r="K42" s="2"/>
      <c r="L42" s="2"/>
      <c r="M42" s="2"/>
      <c r="N42" s="2"/>
      <c r="O42" s="2"/>
      <c r="P42" s="2"/>
      <c r="Q42" s="2"/>
      <c r="R42" s="2"/>
      <c r="S42" s="2"/>
      <c r="T42" s="6"/>
    </row>
    <row r="43" spans="2:20">
      <c r="B43" s="6"/>
      <c r="C43" s="12"/>
      <c r="D43" s="12"/>
      <c r="E43" s="12"/>
      <c r="F43" s="12"/>
      <c r="G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6"/>
    </row>
    <row r="44" spans="2:20">
      <c r="B44" s="6"/>
      <c r="C44" s="12"/>
      <c r="D44" s="12"/>
      <c r="E44" s="12"/>
      <c r="F44" s="12"/>
      <c r="G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6"/>
    </row>
    <row r="45" spans="2:20">
      <c r="B45" s="6"/>
      <c r="C45" s="12"/>
      <c r="D45" s="12"/>
      <c r="E45" s="12"/>
      <c r="F45" s="12"/>
      <c r="G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6"/>
    </row>
    <row r="46" spans="2:20">
      <c r="B46" s="6"/>
      <c r="C46" s="12"/>
      <c r="D46" s="12"/>
      <c r="E46" s="12"/>
      <c r="F46" s="12"/>
      <c r="G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6"/>
    </row>
    <row r="47" spans="2:20">
      <c r="B47" s="6"/>
      <c r="C47" s="12"/>
      <c r="D47" s="12"/>
      <c r="E47" s="12"/>
      <c r="F47" s="12"/>
      <c r="G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6"/>
    </row>
    <row r="48" spans="2:20">
      <c r="B48" s="6"/>
      <c r="C48" s="12"/>
      <c r="D48" s="12"/>
      <c r="E48" s="12"/>
      <c r="F48" s="12"/>
      <c r="G48" s="6"/>
      <c r="I48" s="6"/>
      <c r="J48" s="2"/>
      <c r="K48" s="2"/>
      <c r="L48" s="2"/>
      <c r="M48" s="2"/>
      <c r="N48" s="2"/>
      <c r="O48" s="2"/>
      <c r="P48" s="2"/>
      <c r="Q48" s="2"/>
      <c r="R48" s="2"/>
      <c r="S48" s="2"/>
      <c r="T48" s="6"/>
    </row>
    <row r="49" spans="2:20">
      <c r="B49" s="6"/>
      <c r="C49" s="12"/>
      <c r="D49" s="12"/>
      <c r="E49" s="12"/>
      <c r="F49" s="12"/>
      <c r="G49" s="6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6"/>
    </row>
    <row r="50" spans="2:20">
      <c r="B50" s="6"/>
      <c r="C50" s="12"/>
      <c r="D50" s="12"/>
      <c r="E50" s="12"/>
      <c r="F50" s="12"/>
      <c r="G50" s="6"/>
      <c r="I50" s="6"/>
      <c r="J50" s="2"/>
      <c r="K50" s="2"/>
      <c r="L50" s="2"/>
      <c r="M50" s="2"/>
      <c r="N50" s="2"/>
      <c r="O50" s="2"/>
      <c r="P50" s="2"/>
      <c r="Q50" s="2"/>
      <c r="R50" s="2"/>
      <c r="S50" s="2"/>
      <c r="T50" s="6"/>
    </row>
    <row r="51" spans="2:20">
      <c r="B51" s="6"/>
      <c r="C51" s="7"/>
      <c r="D51" s="7"/>
      <c r="E51" s="7"/>
      <c r="F51" s="7"/>
      <c r="G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</sheetData>
  <mergeCells count="5">
    <mergeCell ref="E2:G2"/>
    <mergeCell ref="L2:T2"/>
    <mergeCell ref="C4:F4"/>
    <mergeCell ref="C7:F7"/>
    <mergeCell ref="C19:F19"/>
  </mergeCells>
  <phoneticPr fontId="2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自动卡用户手册</vt:lpstr>
      <vt:lpstr>人物卡</vt:lpstr>
      <vt:lpstr>装备卡</vt:lpstr>
      <vt:lpstr>状态表</vt:lpstr>
      <vt:lpstr>RP卡</vt:lpstr>
      <vt:lpstr>成长表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22947</dc:creator>
  <cp:lastModifiedBy>Junao Xiong</cp:lastModifiedBy>
  <dcterms:created xsi:type="dcterms:W3CDTF">2025-04-07T03:42:00Z</dcterms:created>
  <dcterms:modified xsi:type="dcterms:W3CDTF">2026-06-07T18:06:54Z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10AB743FD5D149969E4B1DAA94A6E78C_13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